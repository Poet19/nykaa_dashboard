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areer\Projects\nykaa_dasboard\"/>
    </mc:Choice>
  </mc:AlternateContent>
  <xr:revisionPtr revIDLastSave="0" documentId="13_ncr:1_{3EB1B8C2-AB0F-4D3E-B2B4-52E9179CE51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Quarters" sheetId="3" r:id="rId1"/>
    <sheet name="Balance Sheet" sheetId="2" r:id="rId2"/>
    <sheet name="Cash Flow" sheetId="4" r:id="rId3"/>
    <sheet name="Data Sheet" sheetId="6" r:id="rId4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93" i="6"/>
  <c r="B93" i="6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4" i="2"/>
  <c r="E4" i="2"/>
  <c r="E5" i="2"/>
  <c r="E23" i="2"/>
  <c r="F4" i="2"/>
  <c r="G4" i="2"/>
  <c r="H4" i="2"/>
  <c r="I4" i="2"/>
  <c r="I5" i="2"/>
  <c r="J4" i="2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F20" i="2"/>
  <c r="I23" i="2"/>
  <c r="B20" i="2"/>
  <c r="E1" i="6"/>
  <c r="E1" i="2"/>
  <c r="H16" i="2"/>
  <c r="D16" i="2"/>
  <c r="F23" i="2"/>
  <c r="C23" i="2"/>
  <c r="K16" i="2"/>
  <c r="C16" i="2"/>
  <c r="G23" i="2"/>
  <c r="F16" i="2"/>
  <c r="B23" i="2"/>
  <c r="H23" i="2"/>
  <c r="D23" i="2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E14" i="3"/>
  <c r="I14" i="3"/>
  <c r="G14" i="3"/>
  <c r="G20" i="2"/>
  <c r="K20" i="2"/>
  <c r="D20" i="2"/>
  <c r="J20" i="2"/>
  <c r="C20" i="2"/>
  <c r="E20" i="2"/>
  <c r="A1" i="3"/>
  <c r="A1" i="2"/>
  <c r="A1" i="4" s="1"/>
  <c r="I24" i="2" l="1"/>
  <c r="K23" i="2"/>
  <c r="C24" i="2"/>
  <c r="H24" i="2"/>
  <c r="G24" i="2"/>
  <c r="E1" i="3"/>
  <c r="I16" i="2"/>
  <c r="K24" i="2"/>
  <c r="F24" i="2"/>
  <c r="J16" i="2"/>
  <c r="E24" i="2"/>
  <c r="J24" i="2"/>
  <c r="D24" i="2"/>
  <c r="I20" i="2"/>
  <c r="H20" i="2"/>
  <c r="E1" i="4"/>
</calcChain>
</file>

<file path=xl/sharedStrings.xml><?xml version="1.0" encoding="utf-8"?>
<sst xmlns="http://schemas.openxmlformats.org/spreadsheetml/2006/main" count="102" uniqueCount="63">
  <si>
    <t>COMPANY NAME</t>
  </si>
  <si>
    <t>SCREENER.IN</t>
  </si>
  <si>
    <t>Narration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</si>
  <si>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</si>
  <si>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</si>
  <si>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</si>
  <si>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</si>
  <si>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</si>
  <si>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</si>
  <si>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</si>
  <si>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</si>
  <si>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</si>
  <si>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OPM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</si>
  <si>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</si>
  <si>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</si>
  <si>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</si>
  <si>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</si>
  <si>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</si>
  <si>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</si>
  <si>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</si>
  <si>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</si>
  <si>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</si>
  <si>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</si>
  <si>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</si>
  <si>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</si>
  <si>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</si>
  <si>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</si>
  <si>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</si>
  <si>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</si>
  <si>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</si>
  <si>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</si>
  <si>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</si>
  <si>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</si>
  <si>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</si>
  <si>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</si>
  <si>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</si>
  <si>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</si>
  <si>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Return on Equity</t>
  </si>
  <si>
    <t>Return on Capital Emp</t>
  </si>
  <si>
    <t>LATEST VERSION</t>
  </si>
  <si>
    <t>CURRENT VERSION</t>
  </si>
  <si>
    <t>FSN E-COMMERCE VENTURES LTD</t>
  </si>
  <si>
    <t>META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</si>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</sst>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[$-409]mmm\-yy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9" fontId="3" fillId="0" borderId="0" applyFont="0" applyFill="0" applyBorder="0" applyAlignment="0" applyProtection="0"/>
  </cellStyleXfs>
  <cellXfs count="23">
    <xf numFmtId="0" fontId="0" fillId="0" borderId="0" xfId="0"/>
    <xf numFmtId="43" fontId="1" fillId="0" borderId="0" xfId="1" applyFont="1" applyBorder="1"/>
    <xf numFmtId="0" fontId="1" fillId="0" borderId="0" xfId="0" applyFont="1" applyFill="1" applyBorder="1"/>
    <xf numFmtId="0" fontId="1" fillId="0" borderId="0" xfId="0" applyFont="1" applyFill="1" applyBorder="1" applyAlignment="1"/>
    <xf numFmtId="43" fontId="0" fillId="0" borderId="0" xfId="1" applyFont="1" applyBorder="1"/>
    <xf numFmtId="0" fontId="0" fillId="0" borderId="0" xfId="0" applyFont="1" applyBorder="1"/>
    <xf numFmtId="0" fontId="1" fillId="0" borderId="0" xfId="0" applyFont="1" applyBorder="1"/>
    <xf numFmtId="43" fontId="3" fillId="0" borderId="0" xfId="1" applyFont="1" applyBorder="1"/>
    <xf numFmtId="0" fontId="0" fillId="0" borderId="0" xfId="0" applyBorder="1"/>
    <xf numFmtId="9" fontId="1" fillId="0" borderId="0" xfId="4" applyFont="1" applyBorder="1"/>
    <xf numFmtId="0" fontId="2" fillId="3" borderId="0" xfId="0" applyFont="1" applyFill="1" applyBorder="1"/>
    <xf numFmtId="165" fontId="2" fillId="3" borderId="0" xfId="0" applyNumberFormat="1" applyFont="1" applyFill="1" applyBorder="1" applyAlignment="1">
      <alignment horizontal="center"/>
    </xf>
    <xf numFmtId="0" fontId="0" fillId="0" borderId="0" xfId="0" applyFill="1" applyBorder="1"/>
    <xf numFmtId="43" fontId="0" fillId="0" borderId="0" xfId="1" applyNumberFormat="1" applyFont="1" applyBorder="1" applyAlignment="1">
      <alignment horizontal="center"/>
    </xf>
    <xf numFmtId="43" fontId="1" fillId="0" borderId="0" xfId="1" applyNumberFormat="1" applyFont="1" applyBorder="1" applyAlignment="1">
      <alignment horizontal="center"/>
    </xf>
    <xf numFmtId="43" fontId="0" fillId="0" borderId="0" xfId="1" applyNumberFormat="1" applyFont="1" applyBorder="1"/>
    <xf numFmtId="165" fontId="2" fillId="3" borderId="0" xfId="1" applyNumberFormat="1" applyFont="1" applyFill="1" applyBorder="1"/>
    <xf numFmtId="165" fontId="6" fillId="0" borderId="0" xfId="1" applyNumberFormat="1" applyFont="1" applyFill="1" applyBorder="1"/>
    <xf numFmtId="0" fontId="0" fillId="0" borderId="0" xfId="0" applyFont="1" applyFill="1" applyBorder="1"/>
    <xf numFmtId="0" fontId="6" fillId="0" borderId="0" xfId="0" applyFont="1" applyFill="1" applyBorder="1"/>
    <xf numFmtId="164" fontId="0" fillId="0" borderId="0" xfId="1" applyNumberFormat="1" applyFont="1" applyBorder="1"/>
    <xf numFmtId="43" fontId="4" fillId="0" borderId="0" xfId="2" applyNumberFormat="1" applyBorder="1" applyAlignment="1" applyProtection="1">
      <alignment horizontal="center"/>
    </xf>
    <xf numFmtId="43" fontId="2" fillId="2" borderId="0" xfId="3" applyNumberFormat="1" applyFont="1" applyBorder="1" applyAlignment="1">
      <alignment horizontal="center"/>
    </xf>
  </cellXfs>
  <cellStyles count="5">
    <cellStyle name="Accent6" xfId="3" builtinId="49"/>
    <cellStyle name="Comma" xfId="1" builtinId="3"/>
    <cellStyle name="Hyperlink" xfId="2" builtinId="8"/>
    <cellStyle name="Normal" xfId="0" builtinId="0"/>
    <cellStyle name="Percent" xfId="4" builtinId="5"/>
  </cellStyles>
  <dxfs count="13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0.6640625" style="5" customWidth="1"/>
    <col min="2" max="11" width="13.44140625" style="5" bestFit="1" customWidth="1"/>
    <col min="12" max="16384" width="8.77734375" style="5"/>
  </cols>
  <sheetData>
    <row r="1" spans="1:11" s="6" customFormat="1" x14ac:dyDescent="0.3">
      <c r="A1" s="6" t="e">
        <f>#REF!</f>
        <v>#REF!</v>
      </c>
      <c r="E1" t="str">
        <f>UPDATE</f>
        <v/>
      </c>
      <c r="J1" s="3" t="s">
        <v>1</v>
      </c>
      <c r="K1" s="3"/>
    </row>
    <row r="3" spans="1:11" s="2" customFormat="1" x14ac:dyDescent="0.3">
      <c r="A3" s="10" t="s">
        <v>2</v>
      </c>
      <c r="B3" s="11">
        <f>'Data Sheet'!B41</f>
        <v>45199</v>
      </c>
      <c r="C3" s="11">
        <f>'Data Sheet'!C41</f>
        <v>45291</v>
      </c>
      <c r="D3" s="11">
        <f>'Data Sheet'!D41</f>
        <v>45382</v>
      </c>
      <c r="E3" s="11">
        <f>'Data Sheet'!E41</f>
        <v>45473</v>
      </c>
      <c r="F3" s="11">
        <f>'Data Sheet'!F41</f>
        <v>45565</v>
      </c>
      <c r="G3" s="11">
        <f>'Data Sheet'!G41</f>
        <v>45657</v>
      </c>
      <c r="H3" s="11">
        <f>'Data Sheet'!H41</f>
        <v>45747</v>
      </c>
      <c r="I3" s="11">
        <f>'Data Sheet'!I41</f>
        <v>45838</v>
      </c>
      <c r="J3" s="11">
        <f>'Data Sheet'!J41</f>
        <v>45930</v>
      </c>
      <c r="K3" s="11">
        <f>'Data Sheet'!K41</f>
        <v>46022</v>
      </c>
    </row>
    <row r="4" spans="1:11" s="6" customFormat="1" x14ac:dyDescent="0.3">
      <c r="A4" s="6" t="s">
        <v>3</v>
      </c>
      <c r="B4" s="1">
        <f>'Data Sheet'!B42</f>
        <v>1507.02</v>
      </c>
      <c r="C4" s="1">
        <f>'Data Sheet'!C42</f>
        <v>1788.8</v>
      </c>
      <c r="D4" s="1">
        <f>'Data Sheet'!D42</f>
        <v>1667.98</v>
      </c>
      <c r="E4" s="1">
        <f>'Data Sheet'!E42</f>
        <v>1746.11</v>
      </c>
      <c r="F4" s="1">
        <f>'Data Sheet'!F42</f>
        <v>1874.74</v>
      </c>
      <c r="G4" s="1">
        <f>'Data Sheet'!G42</f>
        <v>2267.21</v>
      </c>
      <c r="H4" s="1">
        <f>'Data Sheet'!H42</f>
        <v>2061.7600000000002</v>
      </c>
      <c r="I4" s="1">
        <f>'Data Sheet'!I42</f>
        <v>2154.94</v>
      </c>
      <c r="J4" s="1">
        <f>'Data Sheet'!J42</f>
        <v>2345.98</v>
      </c>
      <c r="K4" s="1">
        <f>'Data Sheet'!K42</f>
        <v>2873.26</v>
      </c>
    </row>
    <row r="5" spans="1:11" x14ac:dyDescent="0.3">
      <c r="A5" s="5" t="s">
        <v>4</v>
      </c>
      <c r="B5" s="7">
        <f>'Data Sheet'!B43</f>
        <v>1426.39</v>
      </c>
      <c r="C5" s="7">
        <f>'Data Sheet'!C43</f>
        <v>1690.02</v>
      </c>
      <c r="D5" s="7">
        <f>'Data Sheet'!D43</f>
        <v>1574.7</v>
      </c>
      <c r="E5" s="7">
        <f>'Data Sheet'!E43</f>
        <v>1649.99</v>
      </c>
      <c r="F5" s="7">
        <f>'Data Sheet'!F43</f>
        <v>1771.08</v>
      </c>
      <c r="G5" s="7">
        <f>'Data Sheet'!G43</f>
        <v>2126.4299999999998</v>
      </c>
      <c r="H5" s="7">
        <f>'Data Sheet'!H43</f>
        <v>1928.41</v>
      </c>
      <c r="I5" s="7">
        <f>'Data Sheet'!I43</f>
        <v>2014.26</v>
      </c>
      <c r="J5" s="7">
        <f>'Data Sheet'!J43</f>
        <v>2187.0300000000002</v>
      </c>
      <c r="K5" s="7">
        <f>'Data Sheet'!K43</f>
        <v>2643.5</v>
      </c>
    </row>
    <row r="6" spans="1:11" s="6" customFormat="1" x14ac:dyDescent="0.3">
      <c r="A6" s="6" t="s">
        <v>5</v>
      </c>
      <c r="B6" s="1">
        <f>'Data Sheet'!B50</f>
        <v>80.63</v>
      </c>
      <c r="C6" s="1">
        <f>'Data Sheet'!C50</f>
        <v>98.78</v>
      </c>
      <c r="D6" s="1">
        <f>'Data Sheet'!D50</f>
        <v>93.28</v>
      </c>
      <c r="E6" s="1">
        <f>'Data Sheet'!E50</f>
        <v>96.12</v>
      </c>
      <c r="F6" s="1">
        <f>'Data Sheet'!F50</f>
        <v>103.66</v>
      </c>
      <c r="G6" s="1">
        <f>'Data Sheet'!G50</f>
        <v>140.78</v>
      </c>
      <c r="H6" s="1">
        <f>'Data Sheet'!H50</f>
        <v>133.35</v>
      </c>
      <c r="I6" s="1">
        <f>'Data Sheet'!I50</f>
        <v>140.68</v>
      </c>
      <c r="J6" s="1">
        <f>'Data Sheet'!J50</f>
        <v>158.94999999999999</v>
      </c>
      <c r="K6" s="1">
        <f>'Data Sheet'!K50</f>
        <v>229.76</v>
      </c>
    </row>
    <row r="7" spans="1:11" x14ac:dyDescent="0.3">
      <c r="A7" s="5" t="s">
        <v>6</v>
      </c>
      <c r="B7" s="7">
        <f>'Data Sheet'!B44</f>
        <v>8.57</v>
      </c>
      <c r="C7" s="7">
        <f>'Data Sheet'!C44</f>
        <v>7.58</v>
      </c>
      <c r="D7" s="7">
        <f>'Data Sheet'!D44</f>
        <v>7.06</v>
      </c>
      <c r="E7" s="7">
        <f>'Data Sheet'!E44</f>
        <v>7.33</v>
      </c>
      <c r="F7" s="7">
        <f>'Data Sheet'!F44</f>
        <v>5.45</v>
      </c>
      <c r="G7" s="7">
        <f>'Data Sheet'!G44</f>
        <v>5.53</v>
      </c>
      <c r="H7" s="7">
        <f>'Data Sheet'!H44</f>
        <v>8.9499999999999993</v>
      </c>
      <c r="I7" s="7">
        <f>'Data Sheet'!I44</f>
        <v>9.33</v>
      </c>
      <c r="J7" s="7">
        <f>'Data Sheet'!J44</f>
        <v>6.99</v>
      </c>
      <c r="K7" s="7">
        <f>'Data Sheet'!K44</f>
        <v>-10.1</v>
      </c>
    </row>
    <row r="8" spans="1:11" x14ac:dyDescent="0.3">
      <c r="A8" s="5" t="s">
        <v>7</v>
      </c>
      <c r="B8" s="7">
        <f>'Data Sheet'!B45</f>
        <v>54.64</v>
      </c>
      <c r="C8" s="7">
        <f>'Data Sheet'!C45</f>
        <v>58.03</v>
      </c>
      <c r="D8" s="7">
        <f>'Data Sheet'!D45</f>
        <v>59.65</v>
      </c>
      <c r="E8" s="7">
        <f>'Data Sheet'!E45</f>
        <v>60.06</v>
      </c>
      <c r="F8" s="7">
        <f>'Data Sheet'!F45</f>
        <v>63.62</v>
      </c>
      <c r="G8" s="7">
        <f>'Data Sheet'!G45</f>
        <v>69.819999999999993</v>
      </c>
      <c r="H8" s="7">
        <f>'Data Sheet'!H45</f>
        <v>72.900000000000006</v>
      </c>
      <c r="I8" s="7">
        <f>'Data Sheet'!I45</f>
        <v>76.14</v>
      </c>
      <c r="J8" s="7">
        <f>'Data Sheet'!J45</f>
        <v>79.09</v>
      </c>
      <c r="K8" s="7">
        <f>'Data Sheet'!K45</f>
        <v>80.88</v>
      </c>
    </row>
    <row r="9" spans="1:11" x14ac:dyDescent="0.3">
      <c r="A9" s="5" t="s">
        <v>8</v>
      </c>
      <c r="B9" s="7">
        <f>'Data Sheet'!B46</f>
        <v>21.31</v>
      </c>
      <c r="C9" s="7">
        <f>'Data Sheet'!C46</f>
        <v>21.84</v>
      </c>
      <c r="D9" s="7">
        <f>'Data Sheet'!D46</f>
        <v>21.13</v>
      </c>
      <c r="E9" s="7">
        <f>'Data Sheet'!E46</f>
        <v>21.31</v>
      </c>
      <c r="F9" s="7">
        <f>'Data Sheet'!F46</f>
        <v>24.23</v>
      </c>
      <c r="G9" s="7">
        <f>'Data Sheet'!G46</f>
        <v>31.93</v>
      </c>
      <c r="H9" s="7">
        <f>'Data Sheet'!H46</f>
        <v>29.85</v>
      </c>
      <c r="I9" s="7">
        <f>'Data Sheet'!I46</f>
        <v>30.16</v>
      </c>
      <c r="J9" s="7">
        <f>'Data Sheet'!J46</f>
        <v>31.47</v>
      </c>
      <c r="K9" s="7">
        <f>'Data Sheet'!K46</f>
        <v>29.16</v>
      </c>
    </row>
    <row r="10" spans="1:11" x14ac:dyDescent="0.3">
      <c r="A10" s="5" t="s">
        <v>9</v>
      </c>
      <c r="B10" s="7">
        <f>'Data Sheet'!B47</f>
        <v>13.25</v>
      </c>
      <c r="C10" s="7">
        <f>'Data Sheet'!C47</f>
        <v>26.49</v>
      </c>
      <c r="D10" s="7">
        <f>'Data Sheet'!D47</f>
        <v>19.559999999999999</v>
      </c>
      <c r="E10" s="7">
        <f>'Data Sheet'!E47</f>
        <v>22.08</v>
      </c>
      <c r="F10" s="7">
        <f>'Data Sheet'!F47</f>
        <v>21.26</v>
      </c>
      <c r="G10" s="7">
        <f>'Data Sheet'!G47</f>
        <v>44.56</v>
      </c>
      <c r="H10" s="7">
        <f>'Data Sheet'!H47</f>
        <v>39.549999999999997</v>
      </c>
      <c r="I10" s="7">
        <f>'Data Sheet'!I47</f>
        <v>43.71</v>
      </c>
      <c r="J10" s="7">
        <f>'Data Sheet'!J47</f>
        <v>55.38</v>
      </c>
      <c r="K10" s="7">
        <f>'Data Sheet'!K47</f>
        <v>109.62</v>
      </c>
    </row>
    <row r="11" spans="1:11" x14ac:dyDescent="0.3">
      <c r="A11" s="5" t="s">
        <v>10</v>
      </c>
      <c r="B11" s="7">
        <f>'Data Sheet'!B48</f>
        <v>3.97</v>
      </c>
      <c r="C11" s="7">
        <f>'Data Sheet'!C48</f>
        <v>8.26</v>
      </c>
      <c r="D11" s="7">
        <f>'Data Sheet'!D48</f>
        <v>9.83</v>
      </c>
      <c r="E11" s="7">
        <f>'Data Sheet'!E48</f>
        <v>7.84</v>
      </c>
      <c r="F11" s="7">
        <f>'Data Sheet'!F48</f>
        <v>7.82</v>
      </c>
      <c r="G11" s="7">
        <f>'Data Sheet'!G48</f>
        <v>17.59</v>
      </c>
      <c r="H11" s="7">
        <f>'Data Sheet'!H48</f>
        <v>20.5</v>
      </c>
      <c r="I11" s="7">
        <f>'Data Sheet'!I48</f>
        <v>19.239999999999998</v>
      </c>
      <c r="J11" s="7">
        <f>'Data Sheet'!J48</f>
        <v>22.4</v>
      </c>
      <c r="K11" s="7">
        <f>'Data Sheet'!K48</f>
        <v>41.88</v>
      </c>
    </row>
    <row r="12" spans="1:11" s="6" customFormat="1" x14ac:dyDescent="0.3">
      <c r="A12" s="6" t="s">
        <v>11</v>
      </c>
      <c r="B12" s="1">
        <f>'Data Sheet'!B49</f>
        <v>5.85</v>
      </c>
      <c r="C12" s="1">
        <f>'Data Sheet'!C49</f>
        <v>16.190000000000001</v>
      </c>
      <c r="D12" s="1">
        <f>'Data Sheet'!D49</f>
        <v>6.93</v>
      </c>
      <c r="E12" s="1">
        <f>'Data Sheet'!E49</f>
        <v>9.64</v>
      </c>
      <c r="F12" s="1">
        <f>'Data Sheet'!F49</f>
        <v>10.039999999999999</v>
      </c>
      <c r="G12" s="1">
        <f>'Data Sheet'!G49</f>
        <v>26.12</v>
      </c>
      <c r="H12" s="1">
        <f>'Data Sheet'!H49</f>
        <v>20.28</v>
      </c>
      <c r="I12" s="1">
        <f>'Data Sheet'!I49</f>
        <v>23.32</v>
      </c>
      <c r="J12" s="1">
        <f>'Data Sheet'!J49</f>
        <v>34.43</v>
      </c>
      <c r="K12" s="1">
        <f>'Data Sheet'!K49</f>
        <v>63.31</v>
      </c>
    </row>
    <row r="14" spans="1:11" s="6" customFormat="1" x14ac:dyDescent="0.3">
      <c r="A14" s="2" t="s">
        <v>12</v>
      </c>
      <c r="B14" s="9">
        <f>IF(B4&gt;0,B6/B4,"")</f>
        <v>5.3502939576117105E-2</v>
      </c>
      <c r="C14" s="9">
        <f t="shared" ref="C14:K14" si="0">IF(C4&gt;0,C6/C4,"")</f>
        <v>5.5221377459749553E-2</v>
      </c>
      <c r="D14" s="9">
        <f t="shared" si="0"/>
        <v>5.5923931941629992E-2</v>
      </c>
      <c r="E14" s="9">
        <f t="shared" si="0"/>
        <v>5.5048078299763478E-2</v>
      </c>
      <c r="F14" s="9">
        <f t="shared" si="0"/>
        <v>5.5293000629420608E-2</v>
      </c>
      <c r="G14" s="9">
        <f t="shared" si="0"/>
        <v>6.2093939246915815E-2</v>
      </c>
      <c r="H14" s="9">
        <f t="shared" si="0"/>
        <v>6.4677751047648599E-2</v>
      </c>
      <c r="I14" s="9">
        <f t="shared" si="0"/>
        <v>6.5282560071278084E-2</v>
      </c>
      <c r="J14" s="9">
        <f t="shared" si="0"/>
        <v>6.7754200803075898E-2</v>
      </c>
      <c r="K14" s="9">
        <f t="shared" si="0"/>
        <v>7.9964917898136603E-2</v>
      </c>
    </row>
    <row r="22" s="19" customFormat="1" x14ac:dyDescent="0.3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77734375" defaultRowHeight="14.4" x14ac:dyDescent="0.3"/>
  <cols>
    <col min="1" max="1" width="22.77734375" style="8" bestFit="1" customWidth="1"/>
    <col min="2" max="2" width="13.44140625" style="8" customWidth="1"/>
    <col min="3" max="11" width="15.44140625" style="8" customWidth="1"/>
    <col min="12" max="16384" width="8.77734375" style="8"/>
  </cols>
  <sheetData>
    <row r="1" spans="1:11" s="6" customFormat="1" x14ac:dyDescent="0.3">
      <c r="A1" s="6" t="e">
        <f>#REF!</f>
        <v>#REF!</v>
      </c>
      <c r="E1" t="str">
        <f>UPDATE</f>
        <v/>
      </c>
      <c r="G1"/>
      <c r="J1" s="3" t="s">
        <v>1</v>
      </c>
      <c r="K1" s="3"/>
    </row>
    <row r="2" spans="1:11" x14ac:dyDescent="0.3">
      <c r="G2" s="6"/>
      <c r="H2" s="6"/>
    </row>
    <row r="3" spans="1:11" s="12" customFormat="1" x14ac:dyDescent="0.3">
      <c r="A3" s="10" t="s">
        <v>2</v>
      </c>
      <c r="B3" s="11">
        <f>'Data Sheet'!B56</f>
        <v>0</v>
      </c>
      <c r="C3" s="11">
        <f>'Data Sheet'!C56</f>
        <v>0</v>
      </c>
      <c r="D3" s="11">
        <f>'Data Sheet'!D56</f>
        <v>43190</v>
      </c>
      <c r="E3" s="11">
        <f>'Data Sheet'!E56</f>
        <v>43555</v>
      </c>
      <c r="F3" s="11">
        <f>'Data Sheet'!F56</f>
        <v>43921</v>
      </c>
      <c r="G3" s="11">
        <f>'Data Sheet'!G56</f>
        <v>44286</v>
      </c>
      <c r="H3" s="11">
        <f>'Data Sheet'!H56</f>
        <v>44651</v>
      </c>
      <c r="I3" s="11">
        <f>'Data Sheet'!I56</f>
        <v>45016</v>
      </c>
      <c r="J3" s="11">
        <f>'Data Sheet'!J56</f>
        <v>45382</v>
      </c>
      <c r="K3" s="11">
        <f>'Data Sheet'!K56</f>
        <v>45747</v>
      </c>
    </row>
    <row r="4" spans="1:11" x14ac:dyDescent="0.3">
      <c r="A4" s="5" t="s">
        <v>13</v>
      </c>
      <c r="B4" s="13">
        <f>'Data Sheet'!B57</f>
        <v>0</v>
      </c>
      <c r="C4" s="13">
        <f>'Data Sheet'!C57</f>
        <v>0</v>
      </c>
      <c r="D4" s="13">
        <f>'Data Sheet'!D57</f>
        <v>13.56</v>
      </c>
      <c r="E4" s="13">
        <f>'Data Sheet'!E57</f>
        <v>14.24</v>
      </c>
      <c r="F4" s="13">
        <f>'Data Sheet'!F57</f>
        <v>14.55</v>
      </c>
      <c r="G4" s="13">
        <f>'Data Sheet'!G57</f>
        <v>15.06</v>
      </c>
      <c r="H4" s="13">
        <f>'Data Sheet'!H57</f>
        <v>47.41</v>
      </c>
      <c r="I4" s="13">
        <f>'Data Sheet'!I57</f>
        <v>285.25</v>
      </c>
      <c r="J4" s="13">
        <f>'Data Sheet'!J57</f>
        <v>285.60000000000002</v>
      </c>
      <c r="K4" s="13">
        <f>'Data Sheet'!K57</f>
        <v>285.93</v>
      </c>
    </row>
    <row r="5" spans="1:11" s="5" customFormat="1" x14ac:dyDescent="0.3">
      <c r="A5" s="5" t="s">
        <v>14</v>
      </c>
      <c r="B5" s="13">
        <f>'Data Sheet'!B58</f>
        <v>0</v>
      </c>
      <c r="C5" s="13">
        <f>'Data Sheet'!C58</f>
        <v>0</v>
      </c>
      <c r="D5" s="13">
        <f>'Data Sheet'!D58</f>
        <v>108.03</v>
      </c>
      <c r="E5" s="13">
        <f>'Data Sheet'!E58</f>
        <v>216.32</v>
      </c>
      <c r="F5" s="13">
        <f>'Data Sheet'!F58</f>
        <v>307.39999999999998</v>
      </c>
      <c r="G5" s="13">
        <f>'Data Sheet'!G58</f>
        <v>474.51</v>
      </c>
      <c r="H5" s="13">
        <f>'Data Sheet'!H58</f>
        <v>1292.49</v>
      </c>
      <c r="I5" s="13">
        <f>'Data Sheet'!I58</f>
        <v>1092.77</v>
      </c>
      <c r="J5" s="13">
        <f>'Data Sheet'!J58</f>
        <v>976.63</v>
      </c>
      <c r="K5" s="13">
        <f>'Data Sheet'!K58</f>
        <v>1015.35</v>
      </c>
    </row>
    <row r="6" spans="1:11" x14ac:dyDescent="0.3">
      <c r="A6" s="8" t="s">
        <v>44</v>
      </c>
      <c r="B6" s="13">
        <f>'Data Sheet'!B59</f>
        <v>0</v>
      </c>
      <c r="C6" s="13">
        <f>'Data Sheet'!C59</f>
        <v>0</v>
      </c>
      <c r="D6" s="13">
        <f>'Data Sheet'!D59</f>
        <v>83.05</v>
      </c>
      <c r="E6" s="13">
        <f>'Data Sheet'!E59</f>
        <v>310.47000000000003</v>
      </c>
      <c r="F6" s="13">
        <f>'Data Sheet'!F59</f>
        <v>412.77</v>
      </c>
      <c r="G6" s="13">
        <f>'Data Sheet'!G59</f>
        <v>333</v>
      </c>
      <c r="H6" s="13">
        <f>'Data Sheet'!H59</f>
        <v>592.62</v>
      </c>
      <c r="I6" s="13">
        <f>'Data Sheet'!I59</f>
        <v>798.5</v>
      </c>
      <c r="J6" s="13">
        <f>'Data Sheet'!J59</f>
        <v>969.49</v>
      </c>
      <c r="K6" s="13">
        <f>'Data Sheet'!K59</f>
        <v>1320.59</v>
      </c>
    </row>
    <row r="7" spans="1:11" s="5" customFormat="1" x14ac:dyDescent="0.3">
      <c r="A7" s="8" t="s">
        <v>45</v>
      </c>
      <c r="B7" s="13">
        <f>'Data Sheet'!B60</f>
        <v>0</v>
      </c>
      <c r="C7" s="13">
        <f>'Data Sheet'!C60</f>
        <v>0</v>
      </c>
      <c r="D7" s="13">
        <f>'Data Sheet'!D60</f>
        <v>148.5</v>
      </c>
      <c r="E7" s="13">
        <f>'Data Sheet'!E60</f>
        <v>234.62</v>
      </c>
      <c r="F7" s="13">
        <f>'Data Sheet'!F60</f>
        <v>389.76</v>
      </c>
      <c r="G7" s="13">
        <f>'Data Sheet'!G60</f>
        <v>479.37</v>
      </c>
      <c r="H7" s="13">
        <f>'Data Sheet'!H60</f>
        <v>713.52</v>
      </c>
      <c r="I7" s="13">
        <f>'Data Sheet'!I60</f>
        <v>773.45</v>
      </c>
      <c r="J7" s="13">
        <f>'Data Sheet'!J60</f>
        <v>1168.9100000000001</v>
      </c>
      <c r="K7" s="13">
        <f>'Data Sheet'!K60</f>
        <v>1357.66</v>
      </c>
    </row>
    <row r="8" spans="1:11" s="6" customFormat="1" x14ac:dyDescent="0.3">
      <c r="A8" s="6" t="s">
        <v>15</v>
      </c>
      <c r="B8" s="14">
        <f>'Data Sheet'!B61</f>
        <v>0</v>
      </c>
      <c r="C8" s="14">
        <f>'Data Sheet'!C61</f>
        <v>0</v>
      </c>
      <c r="D8" s="14">
        <f>'Data Sheet'!D61</f>
        <v>353.14</v>
      </c>
      <c r="E8" s="14">
        <f>'Data Sheet'!E61</f>
        <v>775.65</v>
      </c>
      <c r="F8" s="14">
        <f>'Data Sheet'!F61</f>
        <v>1124.48</v>
      </c>
      <c r="G8" s="14">
        <f>'Data Sheet'!G61</f>
        <v>1301.94</v>
      </c>
      <c r="H8" s="14">
        <f>'Data Sheet'!H61</f>
        <v>2646.04</v>
      </c>
      <c r="I8" s="14">
        <f>'Data Sheet'!I61</f>
        <v>2949.97</v>
      </c>
      <c r="J8" s="14">
        <f>'Data Sheet'!J61</f>
        <v>3400.63</v>
      </c>
      <c r="K8" s="14">
        <f>'Data Sheet'!K61</f>
        <v>3979.53</v>
      </c>
    </row>
    <row r="9" spans="1:11" s="6" customFormat="1" x14ac:dyDescent="0.3">
      <c r="B9" s="14"/>
      <c r="C9" s="14"/>
      <c r="D9" s="14"/>
      <c r="E9" s="14"/>
      <c r="F9" s="14"/>
      <c r="G9" s="14"/>
      <c r="H9" s="14"/>
      <c r="I9" s="14"/>
      <c r="J9" s="14"/>
      <c r="K9" s="14"/>
    </row>
    <row r="10" spans="1:11" x14ac:dyDescent="0.3">
      <c r="A10" s="5" t="s">
        <v>16</v>
      </c>
      <c r="B10" s="13">
        <f>'Data Sheet'!B62</f>
        <v>0</v>
      </c>
      <c r="C10" s="13">
        <f>'Data Sheet'!C62</f>
        <v>0</v>
      </c>
      <c r="D10" s="13">
        <f>'Data Sheet'!D62</f>
        <v>34.119999999999997</v>
      </c>
      <c r="E10" s="13">
        <f>'Data Sheet'!E62</f>
        <v>139.58000000000001</v>
      </c>
      <c r="F10" s="13">
        <f>'Data Sheet'!F62</f>
        <v>227.03</v>
      </c>
      <c r="G10" s="13">
        <f>'Data Sheet'!G62</f>
        <v>231.13</v>
      </c>
      <c r="H10" s="13">
        <f>'Data Sheet'!H62</f>
        <v>483.25</v>
      </c>
      <c r="I10" s="13">
        <f>'Data Sheet'!I62</f>
        <v>698.82</v>
      </c>
      <c r="J10" s="13">
        <f>'Data Sheet'!J62</f>
        <v>668.16</v>
      </c>
      <c r="K10" s="13">
        <f>'Data Sheet'!K62</f>
        <v>834.82</v>
      </c>
    </row>
    <row r="11" spans="1:11" x14ac:dyDescent="0.3">
      <c r="A11" s="5" t="s">
        <v>17</v>
      </c>
      <c r="B11" s="13">
        <f>'Data Sheet'!B63</f>
        <v>0</v>
      </c>
      <c r="C11" s="13">
        <f>'Data Sheet'!C63</f>
        <v>0</v>
      </c>
      <c r="D11" s="13">
        <f>'Data Sheet'!D63</f>
        <v>0.44</v>
      </c>
      <c r="E11" s="13">
        <f>'Data Sheet'!E63</f>
        <v>0.32</v>
      </c>
      <c r="F11" s="13">
        <f>'Data Sheet'!F63</f>
        <v>2.02</v>
      </c>
      <c r="G11" s="13">
        <f>'Data Sheet'!G63</f>
        <v>2.36</v>
      </c>
      <c r="H11" s="13">
        <f>'Data Sheet'!H63</f>
        <v>24.5</v>
      </c>
      <c r="I11" s="13">
        <f>'Data Sheet'!I63</f>
        <v>30.88</v>
      </c>
      <c r="J11" s="13">
        <f>'Data Sheet'!J63</f>
        <v>29.78</v>
      </c>
      <c r="K11" s="13">
        <f>'Data Sheet'!K63</f>
        <v>36.74</v>
      </c>
    </row>
    <row r="12" spans="1:11" x14ac:dyDescent="0.3">
      <c r="A12" s="5" t="s">
        <v>18</v>
      </c>
      <c r="B12" s="13">
        <f>'Data Sheet'!B64</f>
        <v>0</v>
      </c>
      <c r="C12" s="13">
        <f>'Data Sheet'!C64</f>
        <v>0</v>
      </c>
      <c r="D12" s="13">
        <f>'Data Sheet'!D64</f>
        <v>10.42</v>
      </c>
      <c r="E12" s="13">
        <f>'Data Sheet'!E64</f>
        <v>138.27000000000001</v>
      </c>
      <c r="F12" s="13">
        <f>'Data Sheet'!F64</f>
        <v>3.8</v>
      </c>
      <c r="G12" s="13">
        <f>'Data Sheet'!G64</f>
        <v>1.32</v>
      </c>
      <c r="H12" s="13">
        <f>'Data Sheet'!H64</f>
        <v>0</v>
      </c>
      <c r="I12" s="13">
        <f>'Data Sheet'!I64</f>
        <v>38.119999999999997</v>
      </c>
      <c r="J12" s="13">
        <f>'Data Sheet'!J64</f>
        <v>34.31</v>
      </c>
      <c r="K12" s="13">
        <f>'Data Sheet'!K64</f>
        <v>0.16</v>
      </c>
    </row>
    <row r="13" spans="1:11" x14ac:dyDescent="0.3">
      <c r="A13" s="8" t="s">
        <v>46</v>
      </c>
      <c r="B13" s="13">
        <f>'Data Sheet'!B65</f>
        <v>0</v>
      </c>
      <c r="C13" s="13">
        <f>'Data Sheet'!C65</f>
        <v>0</v>
      </c>
      <c r="D13" s="13">
        <f>'Data Sheet'!D65</f>
        <v>308.16000000000003</v>
      </c>
      <c r="E13" s="13">
        <f>'Data Sheet'!E65</f>
        <v>497.48</v>
      </c>
      <c r="F13" s="13">
        <f>'Data Sheet'!F65</f>
        <v>891.63</v>
      </c>
      <c r="G13" s="13">
        <f>'Data Sheet'!G65</f>
        <v>1067.1300000000001</v>
      </c>
      <c r="H13" s="13">
        <f>'Data Sheet'!H65</f>
        <v>2138.29</v>
      </c>
      <c r="I13" s="13">
        <f>'Data Sheet'!I65</f>
        <v>2182.15</v>
      </c>
      <c r="J13" s="13">
        <f>'Data Sheet'!J65</f>
        <v>2668.38</v>
      </c>
      <c r="K13" s="13">
        <f>'Data Sheet'!K65</f>
        <v>3107.81</v>
      </c>
    </row>
    <row r="14" spans="1:11" s="6" customFormat="1" x14ac:dyDescent="0.3">
      <c r="A14" s="6" t="s">
        <v>15</v>
      </c>
      <c r="B14" s="13">
        <f>'Data Sheet'!B66</f>
        <v>0</v>
      </c>
      <c r="C14" s="13">
        <f>'Data Sheet'!C66</f>
        <v>0</v>
      </c>
      <c r="D14" s="13">
        <f>'Data Sheet'!D66</f>
        <v>353.14</v>
      </c>
      <c r="E14" s="13">
        <f>'Data Sheet'!E66</f>
        <v>775.65</v>
      </c>
      <c r="F14" s="13">
        <f>'Data Sheet'!F66</f>
        <v>1124.48</v>
      </c>
      <c r="G14" s="13">
        <f>'Data Sheet'!G66</f>
        <v>1301.94</v>
      </c>
      <c r="H14" s="13">
        <f>'Data Sheet'!H66</f>
        <v>2646.04</v>
      </c>
      <c r="I14" s="13">
        <f>'Data Sheet'!I66</f>
        <v>2949.97</v>
      </c>
      <c r="J14" s="13">
        <f>'Data Sheet'!J66</f>
        <v>3400.63</v>
      </c>
      <c r="K14" s="13">
        <f>'Data Sheet'!K66</f>
        <v>3979.53</v>
      </c>
    </row>
    <row r="15" spans="1:11" x14ac:dyDescent="0.3">
      <c r="A15" s="5"/>
      <c r="B15" s="15"/>
      <c r="C15" s="15"/>
      <c r="D15" s="15"/>
      <c r="E15" s="15"/>
      <c r="F15" s="15"/>
      <c r="G15" s="15"/>
      <c r="H15" s="15"/>
      <c r="I15" s="15"/>
      <c r="J15" s="15"/>
      <c r="K15" s="15"/>
    </row>
    <row r="16" spans="1:11" x14ac:dyDescent="0.3">
      <c r="A16" s="18" t="s">
        <v>19</v>
      </c>
      <c r="B16" s="15">
        <f>B13-B7</f>
        <v>0</v>
      </c>
      <c r="C16" s="15">
        <f t="shared" ref="C16:K16" si="0">C13-C7</f>
        <v>0</v>
      </c>
      <c r="D16" s="15">
        <f t="shared" si="0"/>
        <v>159.66000000000003</v>
      </c>
      <c r="E16" s="15">
        <f t="shared" si="0"/>
        <v>262.86</v>
      </c>
      <c r="F16" s="15">
        <f t="shared" si="0"/>
        <v>501.87</v>
      </c>
      <c r="G16" s="15">
        <f t="shared" si="0"/>
        <v>587.7600000000001</v>
      </c>
      <c r="H16" s="15">
        <f t="shared" si="0"/>
        <v>1424.77</v>
      </c>
      <c r="I16" s="15">
        <f t="shared" si="0"/>
        <v>1408.7</v>
      </c>
      <c r="J16" s="15">
        <f t="shared" si="0"/>
        <v>1499.47</v>
      </c>
      <c r="K16" s="15">
        <f t="shared" si="0"/>
        <v>1750.1499999999999</v>
      </c>
    </row>
    <row r="17" spans="1:11" x14ac:dyDescent="0.3">
      <c r="A17" s="8" t="s">
        <v>33</v>
      </c>
      <c r="B17" s="15">
        <f>'Data Sheet'!B67</f>
        <v>0</v>
      </c>
      <c r="C17" s="15">
        <f>'Data Sheet'!C67</f>
        <v>0</v>
      </c>
      <c r="D17" s="15">
        <f>'Data Sheet'!D67</f>
        <v>70.239999999999995</v>
      </c>
      <c r="E17" s="15">
        <f>'Data Sheet'!E67</f>
        <v>57.92</v>
      </c>
      <c r="F17" s="15">
        <f>'Data Sheet'!F67</f>
        <v>98.43</v>
      </c>
      <c r="G17" s="15">
        <f>'Data Sheet'!G67</f>
        <v>76.64</v>
      </c>
      <c r="H17" s="15">
        <f>'Data Sheet'!H67</f>
        <v>94.53</v>
      </c>
      <c r="I17" s="15">
        <f>'Data Sheet'!I67</f>
        <v>163.53</v>
      </c>
      <c r="J17" s="15">
        <f>'Data Sheet'!J67</f>
        <v>241.6</v>
      </c>
      <c r="K17" s="15">
        <f>'Data Sheet'!K67</f>
        <v>246.61</v>
      </c>
    </row>
    <row r="18" spans="1:11" x14ac:dyDescent="0.3">
      <c r="A18" s="8" t="s">
        <v>34</v>
      </c>
      <c r="B18" s="15">
        <f>'Data Sheet'!B68</f>
        <v>0</v>
      </c>
      <c r="C18" s="15">
        <f>'Data Sheet'!C68</f>
        <v>0</v>
      </c>
      <c r="D18" s="15">
        <f>'Data Sheet'!D68</f>
        <v>117.72</v>
      </c>
      <c r="E18" s="15">
        <f>'Data Sheet'!E68</f>
        <v>244.6</v>
      </c>
      <c r="F18" s="15">
        <f>'Data Sheet'!F68</f>
        <v>445.34</v>
      </c>
      <c r="G18" s="15">
        <f>'Data Sheet'!G68</f>
        <v>498.09</v>
      </c>
      <c r="H18" s="15">
        <f>'Data Sheet'!H68</f>
        <v>875.62</v>
      </c>
      <c r="I18" s="15">
        <f>'Data Sheet'!I68</f>
        <v>1005.14</v>
      </c>
      <c r="J18" s="15">
        <f>'Data Sheet'!J68</f>
        <v>1192.05</v>
      </c>
      <c r="K18" s="15">
        <f>'Data Sheet'!K68</f>
        <v>1417.54</v>
      </c>
    </row>
    <row r="20" spans="1:11" x14ac:dyDescent="0.3">
      <c r="A20" s="8" t="s">
        <v>35</v>
      </c>
      <c r="B20" s="4" t="e">
        <f>IF(#REF!&gt;0,'Balance Sheet'!B17/(#REF!/365),0)</f>
        <v>#REF!</v>
      </c>
      <c r="C20" s="4" t="e">
        <f>IF(#REF!&gt;0,'Balance Sheet'!C17/(#REF!/365),0)</f>
        <v>#REF!</v>
      </c>
      <c r="D20" s="4" t="e">
        <f>IF(#REF!&gt;0,'Balance Sheet'!D17/(#REF!/365),0)</f>
        <v>#REF!</v>
      </c>
      <c r="E20" s="4" t="e">
        <f>IF(#REF!&gt;0,'Balance Sheet'!E17/(#REF!/365),0)</f>
        <v>#REF!</v>
      </c>
      <c r="F20" s="4" t="e">
        <f>IF(#REF!&gt;0,'Balance Sheet'!F17/(#REF!/365),0)</f>
        <v>#REF!</v>
      </c>
      <c r="G20" s="4" t="e">
        <f>IF(#REF!&gt;0,'Balance Sheet'!G17/(#REF!/365),0)</f>
        <v>#REF!</v>
      </c>
      <c r="H20" s="4" t="e">
        <f>IF(#REF!&gt;0,'Balance Sheet'!H17/(#REF!/365),0)</f>
        <v>#REF!</v>
      </c>
      <c r="I20" s="4" t="e">
        <f>IF(#REF!&gt;0,'Balance Sheet'!I17/(#REF!/365),0)</f>
        <v>#REF!</v>
      </c>
      <c r="J20" s="4" t="e">
        <f>IF(#REF!&gt;0,'Balance Sheet'!J17/(#REF!/365),0)</f>
        <v>#REF!</v>
      </c>
      <c r="K20" s="4" t="e">
        <f>IF(#REF!&gt;0,'Balance Sheet'!K17/(#REF!/365),0)</f>
        <v>#REF!</v>
      </c>
    </row>
    <row r="21" spans="1:11" x14ac:dyDescent="0.3">
      <c r="A21" s="8" t="s">
        <v>36</v>
      </c>
      <c r="B21" s="4">
        <f>IF('Balance Sheet'!B18&gt;0,#REF!/'Balance Sheet'!B18,0)</f>
        <v>0</v>
      </c>
      <c r="C21" s="4">
        <f>IF('Balance Sheet'!C18&gt;0,#REF!/'Balance Sheet'!C18,0)</f>
        <v>0</v>
      </c>
      <c r="D21" s="4" t="e">
        <f>IF('Balance Sheet'!D18&gt;0,#REF!/'Balance Sheet'!D18,0)</f>
        <v>#REF!</v>
      </c>
      <c r="E21" s="4" t="e">
        <f>IF('Balance Sheet'!E18&gt;0,#REF!/'Balance Sheet'!E18,0)</f>
        <v>#REF!</v>
      </c>
      <c r="F21" s="4" t="e">
        <f>IF('Balance Sheet'!F18&gt;0,#REF!/'Balance Sheet'!F18,0)</f>
        <v>#REF!</v>
      </c>
      <c r="G21" s="4" t="e">
        <f>IF('Balance Sheet'!G18&gt;0,#REF!/'Balance Sheet'!G18,0)</f>
        <v>#REF!</v>
      </c>
      <c r="H21" s="4" t="e">
        <f>IF('Balance Sheet'!H18&gt;0,#REF!/'Balance Sheet'!H18,0)</f>
        <v>#REF!</v>
      </c>
      <c r="I21" s="4" t="e">
        <f>IF('Balance Sheet'!I18&gt;0,#REF!/'Balance Sheet'!I18,0)</f>
        <v>#REF!</v>
      </c>
      <c r="J21" s="4" t="e">
        <f>IF('Balance Sheet'!J18&gt;0,#REF!/'Balance Sheet'!J18,0)</f>
        <v>#REF!</v>
      </c>
      <c r="K21" s="4" t="e">
        <f>IF('Balance Sheet'!K18&gt;0,#REF!/'Balance Sheet'!K18,0)</f>
        <v>#REF!</v>
      </c>
    </row>
    <row r="23" spans="1:11" s="6" customFormat="1" x14ac:dyDescent="0.3">
      <c r="A23" s="6" t="s">
        <v>37</v>
      </c>
      <c r="B23" s="9" t="str">
        <f>IF(SUM('Balance Sheet'!B4:B5)&gt;0,#REF!/SUM('Balance Sheet'!B4:B5),"")</f>
        <v/>
      </c>
      <c r="C23" s="9" t="str">
        <f>IF(SUM('Balance Sheet'!C4:C5)&gt;0,#REF!/SUM('Balance Sheet'!C4:C5),"")</f>
        <v/>
      </c>
      <c r="D23" s="9" t="e">
        <f>IF(SUM('Balance Sheet'!D4:D5)&gt;0,#REF!/SUM('Balance Sheet'!D4:D5),"")</f>
        <v>#REF!</v>
      </c>
      <c r="E23" s="9" t="e">
        <f>IF(SUM('Balance Sheet'!E4:E5)&gt;0,#REF!/SUM('Balance Sheet'!E4:E5),"")</f>
        <v>#REF!</v>
      </c>
      <c r="F23" s="9" t="e">
        <f>IF(SUM('Balance Sheet'!F4:F5)&gt;0,#REF!/SUM('Balance Sheet'!F4:F5),"")</f>
        <v>#REF!</v>
      </c>
      <c r="G23" s="9" t="e">
        <f>IF(SUM('Balance Sheet'!G4:G5)&gt;0,#REF!/SUM('Balance Sheet'!G4:G5),"")</f>
        <v>#REF!</v>
      </c>
      <c r="H23" s="9" t="e">
        <f>IF(SUM('Balance Sheet'!H4:H5)&gt;0,#REF!/SUM('Balance Sheet'!H4:H5),"")</f>
        <v>#REF!</v>
      </c>
      <c r="I23" s="9" t="e">
        <f>IF(SUM('Balance Sheet'!I4:I5)&gt;0,#REF!/SUM('Balance Sheet'!I4:I5),"")</f>
        <v>#REF!</v>
      </c>
      <c r="J23" s="9" t="e">
        <f>IF(SUM('Balance Sheet'!J4:J5)&gt;0,#REF!/SUM('Balance Sheet'!J4:J5),"")</f>
        <v>#REF!</v>
      </c>
      <c r="K23" s="9" t="e">
        <f>IF(SUM('Balance Sheet'!K4:K5)&gt;0,#REF!/SUM('Balance Sheet'!K4:K5),"")</f>
        <v>#REF!</v>
      </c>
    </row>
    <row r="24" spans="1:11" s="6" customFormat="1" x14ac:dyDescent="0.3">
      <c r="A24" s="6" t="s">
        <v>38</v>
      </c>
      <c r="B24" s="9"/>
      <c r="C24" s="9" t="str">
        <f>IF((B4+B5+B6+C4+C5+C6)&gt;0,(#REF!+#REF!)*2/(B4+B5+B6+C4+C5+C6),"")</f>
        <v/>
      </c>
      <c r="D24" s="9" t="e">
        <f>IF((C4+C5+C6+D4+D5+D6)&gt;0,(#REF!+#REF!)*2/(C4+C5+C6+D4+D5+D6),"")</f>
        <v>#REF!</v>
      </c>
      <c r="E24" s="9" t="e">
        <f>IF((D4+D5+D6+E4+E5+E6)&gt;0,(#REF!+#REF!)*2/(D4+D5+D6+E4+E5+E6),"")</f>
        <v>#REF!</v>
      </c>
      <c r="F24" s="9" t="e">
        <f>IF((E4+E5+E6+F4+F5+F6)&gt;0,(#REF!+#REF!)*2/(E4+E5+E6+F4+F5+F6),"")</f>
        <v>#REF!</v>
      </c>
      <c r="G24" s="9" t="e">
        <f>IF((F4+F5+F6+G4+G5+G6)&gt;0,(#REF!+#REF!)*2/(F4+F5+F6+G4+G5+G6),"")</f>
        <v>#REF!</v>
      </c>
      <c r="H24" s="9" t="e">
        <f>IF((G4+G5+G6+H4+H5+H6)&gt;0,(#REF!+#REF!)*2/(G4+G5+G6+H4+H5+H6),"")</f>
        <v>#REF!</v>
      </c>
      <c r="I24" s="9" t="e">
        <f>IF((H4+H5+H6+I4+I5+I6)&gt;0,(#REF!+#REF!)*2/(H4+H5+H6+I4+I5+I6),"")</f>
        <v>#REF!</v>
      </c>
      <c r="J24" s="9" t="e">
        <f>IF((I4+I5+I6+J4+J5+J6)&gt;0,(#REF!+#REF!)*2/(I4+I5+I6+J4+J5+J6),"")</f>
        <v>#REF!</v>
      </c>
      <c r="K24" s="9" t="e">
        <f>IF((J4+J5+J6+K4+K5+K6)&gt;0,(#REF!+#REF!)*2/(J4+J5+J6+K4+K5+K6),"")</f>
        <v>#REF!</v>
      </c>
    </row>
    <row r="25" spans="1:11" s="12" customFormat="1" x14ac:dyDescent="0.3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6.77734375" style="5" bestFit="1" customWidth="1"/>
    <col min="2" max="6" width="13.44140625" style="5" customWidth="1"/>
    <col min="7" max="11" width="13.44140625" style="5" bestFit="1" customWidth="1"/>
    <col min="12" max="16384" width="8.77734375" style="5"/>
  </cols>
  <sheetData>
    <row r="1" spans="1:11" s="6" customFormat="1" x14ac:dyDescent="0.3">
      <c r="A1" s="6" t="e">
        <f>'Balance Sheet'!A1</f>
        <v>#REF!</v>
      </c>
      <c r="E1" t="str">
        <f>UPDATE</f>
        <v/>
      </c>
      <c r="F1"/>
      <c r="J1" s="3" t="s">
        <v>1</v>
      </c>
      <c r="K1" s="3"/>
    </row>
    <row r="3" spans="1:11" s="2" customFormat="1" x14ac:dyDescent="0.3">
      <c r="A3" s="10" t="s">
        <v>2</v>
      </c>
      <c r="B3" s="11">
        <f>'Data Sheet'!B81</f>
        <v>0</v>
      </c>
      <c r="C3" s="11">
        <f>'Data Sheet'!C81</f>
        <v>0</v>
      </c>
      <c r="D3" s="11">
        <f>'Data Sheet'!D81</f>
        <v>43190</v>
      </c>
      <c r="E3" s="11">
        <f>'Data Sheet'!E81</f>
        <v>43555</v>
      </c>
      <c r="F3" s="11">
        <f>'Data Sheet'!F81</f>
        <v>43921</v>
      </c>
      <c r="G3" s="11">
        <f>'Data Sheet'!G81</f>
        <v>44286</v>
      </c>
      <c r="H3" s="11">
        <f>'Data Sheet'!H81</f>
        <v>44651</v>
      </c>
      <c r="I3" s="11">
        <f>'Data Sheet'!I81</f>
        <v>45016</v>
      </c>
      <c r="J3" s="11">
        <f>'Data Sheet'!J81</f>
        <v>45382</v>
      </c>
      <c r="K3" s="11">
        <f>'Data Sheet'!K81</f>
        <v>45747</v>
      </c>
    </row>
    <row r="4" spans="1:11" s="6" customFormat="1" x14ac:dyDescent="0.3">
      <c r="A4" s="6" t="s">
        <v>21</v>
      </c>
      <c r="B4" s="1">
        <f>'Data Sheet'!B82</f>
        <v>0</v>
      </c>
      <c r="C4" s="1">
        <f>'Data Sheet'!C82</f>
        <v>0</v>
      </c>
      <c r="D4" s="1">
        <f>'Data Sheet'!D82</f>
        <v>-79.38</v>
      </c>
      <c r="E4" s="1">
        <f>'Data Sheet'!E82</f>
        <v>-99.73</v>
      </c>
      <c r="F4" s="1">
        <f>'Data Sheet'!F82</f>
        <v>6.15</v>
      </c>
      <c r="G4" s="1">
        <f>'Data Sheet'!G82</f>
        <v>133.18</v>
      </c>
      <c r="H4" s="1">
        <f>'Data Sheet'!H82</f>
        <v>-353.96</v>
      </c>
      <c r="I4" s="1">
        <f>'Data Sheet'!I82</f>
        <v>-140.24</v>
      </c>
      <c r="J4" s="1">
        <f>'Data Sheet'!J82</f>
        <v>0.25</v>
      </c>
      <c r="K4" s="1">
        <f>'Data Sheet'!K82</f>
        <v>466.63</v>
      </c>
    </row>
    <row r="5" spans="1:11" x14ac:dyDescent="0.3">
      <c r="A5" s="5" t="s">
        <v>22</v>
      </c>
      <c r="B5" s="7">
        <f>'Data Sheet'!B83</f>
        <v>0</v>
      </c>
      <c r="C5" s="7">
        <f>'Data Sheet'!C83</f>
        <v>0</v>
      </c>
      <c r="D5" s="7">
        <f>'Data Sheet'!D83</f>
        <v>30.57</v>
      </c>
      <c r="E5" s="7">
        <f>'Data Sheet'!E83</f>
        <v>-161.94</v>
      </c>
      <c r="F5" s="7">
        <f>'Data Sheet'!F83</f>
        <v>14.91</v>
      </c>
      <c r="G5" s="7">
        <f>'Data Sheet'!G83</f>
        <v>-129.74</v>
      </c>
      <c r="H5" s="7">
        <f>'Data Sheet'!H83</f>
        <v>-602.79</v>
      </c>
      <c r="I5" s="7">
        <f>'Data Sheet'!I83</f>
        <v>139.58000000000001</v>
      </c>
      <c r="J5" s="7">
        <f>'Data Sheet'!J83</f>
        <v>-10.11</v>
      </c>
      <c r="K5" s="7">
        <f>'Data Sheet'!K83</f>
        <v>-205.43</v>
      </c>
    </row>
    <row r="6" spans="1:11" x14ac:dyDescent="0.3">
      <c r="A6" s="5" t="s">
        <v>23</v>
      </c>
      <c r="B6" s="7">
        <f>'Data Sheet'!B84</f>
        <v>0</v>
      </c>
      <c r="C6" s="7">
        <f>'Data Sheet'!C84</f>
        <v>0</v>
      </c>
      <c r="D6" s="7">
        <f>'Data Sheet'!D84</f>
        <v>81.94</v>
      </c>
      <c r="E6" s="7">
        <f>'Data Sheet'!E84</f>
        <v>235.69</v>
      </c>
      <c r="F6" s="7">
        <f>'Data Sheet'!F84</f>
        <v>68.72</v>
      </c>
      <c r="G6" s="7">
        <f>'Data Sheet'!G84</f>
        <v>-37.72</v>
      </c>
      <c r="H6" s="7">
        <f>'Data Sheet'!H84</f>
        <v>927.01</v>
      </c>
      <c r="I6" s="7">
        <f>'Data Sheet'!I84</f>
        <v>4.87</v>
      </c>
      <c r="J6" s="7">
        <f>'Data Sheet'!J84</f>
        <v>44.26</v>
      </c>
      <c r="K6" s="7">
        <f>'Data Sheet'!K84</f>
        <v>-212.04</v>
      </c>
    </row>
    <row r="7" spans="1:11" s="6" customFormat="1" x14ac:dyDescent="0.3">
      <c r="A7" s="6" t="s">
        <v>24</v>
      </c>
      <c r="B7" s="1">
        <f>'Data Sheet'!B85</f>
        <v>0</v>
      </c>
      <c r="C7" s="1">
        <f>'Data Sheet'!C85</f>
        <v>0</v>
      </c>
      <c r="D7" s="1">
        <f>'Data Sheet'!D85</f>
        <v>33.130000000000003</v>
      </c>
      <c r="E7" s="1">
        <f>'Data Sheet'!E85</f>
        <v>-25.98</v>
      </c>
      <c r="F7" s="1">
        <f>'Data Sheet'!F85</f>
        <v>89.78</v>
      </c>
      <c r="G7" s="1">
        <f>'Data Sheet'!G85</f>
        <v>-34.28</v>
      </c>
      <c r="H7" s="1">
        <f>'Data Sheet'!H85</f>
        <v>-29.74</v>
      </c>
      <c r="I7" s="1">
        <f>'Data Sheet'!I85</f>
        <v>4.2</v>
      </c>
      <c r="J7" s="1">
        <f>'Data Sheet'!J85</f>
        <v>34.4</v>
      </c>
      <c r="K7" s="1">
        <f>'Data Sheet'!K85</f>
        <v>49.16</v>
      </c>
    </row>
    <row r="8" spans="1:11" x14ac:dyDescent="0.3">
      <c r="A8" s="18"/>
      <c r="B8" s="7"/>
      <c r="C8" s="7"/>
      <c r="D8" s="7"/>
      <c r="E8" s="7"/>
      <c r="F8" s="7"/>
      <c r="G8" s="7"/>
      <c r="H8" s="7"/>
      <c r="I8" s="7"/>
      <c r="J8" s="7"/>
      <c r="K8" s="7"/>
    </row>
    <row r="24" s="18" customFormat="1" x14ac:dyDescent="0.3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tabSelected="1" zoomScale="120" zoomScaleNormal="120" zoomScalePageLayoutView="120" workbookViewId="0">
      <pane xSplit="1" ySplit="1" topLeftCell="D84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defaultColWidth="8.77734375" defaultRowHeight="14.4" x14ac:dyDescent="0.3"/>
  <cols>
    <col min="1" max="1" width="27.6640625" style="4" bestFit="1" customWidth="1"/>
    <col min="2" max="11" width="13.44140625" style="4" bestFit="1" customWidth="1"/>
    <col min="12" max="16384" width="8.77734375" style="4"/>
  </cols>
  <sheetData>
    <row r="1" spans="1:11" s="1" customFormat="1" x14ac:dyDescent="0.3">
      <c r="A1" s="1" t="s">
        <v>0</v>
      </c>
      <c r="B1" s="1" t="s">
        <v>41</v>
      </c>
      <c r="E1" s="21" t="str">
        <f>IF(B2&lt;&gt;B3, "A NEW VERSION OF THE WORKSHEET IS AVAILABLE", "")</f>
        <v/>
      </c>
      <c r="F1" s="21"/>
      <c r="G1" s="21"/>
      <c r="H1" s="21"/>
      <c r="I1" s="21"/>
      <c r="J1" s="21"/>
      <c r="K1" s="21"/>
    </row>
    <row r="2" spans="1:11" x14ac:dyDescent="0.3">
      <c r="A2" s="1" t="s">
        <v>39</v>
      </c>
      <c r="B2" s="4">
        <v>2.1</v>
      </c>
      <c r="E2" s="22" t="s">
        <v>25</v>
      </c>
      <c r="F2" s="22"/>
      <c r="G2" s="22"/>
      <c r="H2" s="22"/>
      <c r="I2" s="22"/>
      <c r="J2" s="22"/>
      <c r="K2" s="22"/>
    </row>
    <row r="3" spans="1:11" x14ac:dyDescent="0.3">
      <c r="A3" s="1" t="s">
        <v>40</v>
      </c>
      <c r="B3" s="4">
        <v>2.1</v>
      </c>
    </row>
    <row r="4" spans="1:11" x14ac:dyDescent="0.3">
      <c r="A4" s="1"/>
    </row>
    <row r="5" spans="1:11" x14ac:dyDescent="0.3">
      <c r="A5" s="1" t="s">
        <v>42</v>
      </c>
    </row>
    <row r="6" spans="1:11" x14ac:dyDescent="0.3">
      <c r="A6" s="4" t="s">
        <v>31</v>
      </c>
      <c r="B6" s="4">
        <f>IF(B9&gt;0, B9/B8, 0)</f>
        <v>286.3382407476081</v>
      </c>
    </row>
    <row r="7" spans="1:11" x14ac:dyDescent="0.3">
      <c r="A7" s="4" t="s">
        <v>20</v>
      </c>
      <c r="B7">
        <v>1</v>
      </c>
    </row>
    <row r="8" spans="1:11" x14ac:dyDescent="0.3">
      <c r="A8" s="4" t="s">
        <v>32</v>
      </c>
      <c r="B8">
        <v>269.66000000000003</v>
      </c>
    </row>
    <row r="9" spans="1:11" x14ac:dyDescent="0.3">
      <c r="A9" s="4" t="s">
        <v>52</v>
      </c>
      <c r="B9">
        <v>77213.97</v>
      </c>
    </row>
    <row r="15" spans="1:11" x14ac:dyDescent="0.3">
      <c r="A15" s="1" t="s">
        <v>26</v>
      </c>
    </row>
    <row r="16" spans="1:11" s="17" customFormat="1" x14ac:dyDescent="0.3">
      <c r="A16" s="16" t="s">
        <v>27</v>
      </c>
      <c r="B16" s="11"/>
      <c r="C16" s="11"/>
      <c r="D16" s="11">
        <v>43190</v>
      </c>
      <c r="E16" s="11">
        <v>43555</v>
      </c>
      <c r="F16" s="11">
        <v>43921</v>
      </c>
      <c r="G16" s="11">
        <v>44286</v>
      </c>
      <c r="H16" s="11">
        <v>44651</v>
      </c>
      <c r="I16" s="11">
        <v>45016</v>
      </c>
      <c r="J16" s="11">
        <v>45382</v>
      </c>
      <c r="K16" s="11">
        <v>45747</v>
      </c>
    </row>
    <row r="17" spans="1:11" s="7" customFormat="1" x14ac:dyDescent="0.3">
      <c r="A17" s="7" t="s">
        <v>3</v>
      </c>
      <c r="D17">
        <v>574.36</v>
      </c>
      <c r="E17">
        <v>1111.3900000000001</v>
      </c>
      <c r="F17">
        <v>1767.53</v>
      </c>
      <c r="G17">
        <v>2440.9</v>
      </c>
      <c r="H17">
        <v>3773.94</v>
      </c>
      <c r="I17">
        <v>5143.8</v>
      </c>
      <c r="J17">
        <v>6385.63</v>
      </c>
      <c r="K17">
        <v>7949.82</v>
      </c>
    </row>
    <row r="18" spans="1:11" s="7" customFormat="1" x14ac:dyDescent="0.3">
      <c r="A18" s="4" t="s">
        <v>53</v>
      </c>
      <c r="D18">
        <v>436.16</v>
      </c>
      <c r="E18">
        <v>785.48</v>
      </c>
      <c r="F18">
        <v>1196.0899999999999</v>
      </c>
      <c r="G18">
        <v>1533.85</v>
      </c>
      <c r="H18">
        <v>2492.14</v>
      </c>
      <c r="I18">
        <v>3007.42</v>
      </c>
      <c r="J18">
        <v>3846.79</v>
      </c>
      <c r="K18">
        <v>4691.18</v>
      </c>
    </row>
    <row r="19" spans="1:11" s="7" customFormat="1" x14ac:dyDescent="0.3">
      <c r="A19" s="4" t="s">
        <v>54</v>
      </c>
      <c r="D19">
        <v>59.93</v>
      </c>
      <c r="E19">
        <v>125.21</v>
      </c>
      <c r="F19">
        <v>181.88</v>
      </c>
      <c r="G19">
        <v>41.27</v>
      </c>
      <c r="H19">
        <v>362.13</v>
      </c>
      <c r="I19">
        <v>141.74</v>
      </c>
      <c r="J19">
        <v>200.4</v>
      </c>
      <c r="K19">
        <v>218.52</v>
      </c>
    </row>
    <row r="20" spans="1:11" s="7" customFormat="1" x14ac:dyDescent="0.3">
      <c r="A20" s="4" t="s">
        <v>55</v>
      </c>
      <c r="D20">
        <v>0.6</v>
      </c>
      <c r="E20">
        <v>2.09</v>
      </c>
      <c r="F20">
        <v>4.62</v>
      </c>
      <c r="G20">
        <v>4.4000000000000004</v>
      </c>
      <c r="H20">
        <v>6.64</v>
      </c>
      <c r="I20">
        <v>14.99</v>
      </c>
      <c r="J20">
        <v>20.68</v>
      </c>
      <c r="K20">
        <v>25.83</v>
      </c>
    </row>
    <row r="21" spans="1:11" s="7" customFormat="1" x14ac:dyDescent="0.3">
      <c r="A21" s="4" t="s">
        <v>56</v>
      </c>
      <c r="D21">
        <v>27.29</v>
      </c>
      <c r="E21">
        <v>48.09</v>
      </c>
      <c r="F21">
        <v>70.75</v>
      </c>
      <c r="G21">
        <v>137.03</v>
      </c>
      <c r="H21">
        <v>233.28</v>
      </c>
      <c r="I21">
        <v>199.27</v>
      </c>
      <c r="J21">
        <v>188.75</v>
      </c>
      <c r="K21">
        <v>216.21</v>
      </c>
    </row>
    <row r="22" spans="1:11" s="7" customFormat="1" x14ac:dyDescent="0.3">
      <c r="A22" s="4" t="s">
        <v>57</v>
      </c>
      <c r="D22">
        <v>54.93</v>
      </c>
      <c r="E22">
        <v>117.3</v>
      </c>
      <c r="F22">
        <v>195.63</v>
      </c>
      <c r="G22">
        <v>233.37</v>
      </c>
      <c r="H22">
        <v>327.57</v>
      </c>
      <c r="I22">
        <v>493.26</v>
      </c>
      <c r="J22">
        <v>566.26</v>
      </c>
      <c r="K22">
        <v>667.59</v>
      </c>
    </row>
    <row r="23" spans="1:11" s="7" customFormat="1" x14ac:dyDescent="0.3">
      <c r="A23" s="4" t="s">
        <v>58</v>
      </c>
      <c r="D23">
        <v>139.22</v>
      </c>
      <c r="E23">
        <v>253.12</v>
      </c>
      <c r="F23">
        <v>387.59</v>
      </c>
      <c r="G23">
        <v>389.05</v>
      </c>
      <c r="H23">
        <v>886.55</v>
      </c>
      <c r="I23">
        <v>1300.56</v>
      </c>
      <c r="J23">
        <v>1591.29</v>
      </c>
      <c r="K23">
        <v>2071.9</v>
      </c>
    </row>
    <row r="24" spans="1:11" s="7" customFormat="1" x14ac:dyDescent="0.3">
      <c r="A24" s="4" t="s">
        <v>59</v>
      </c>
      <c r="D24">
        <v>2.7</v>
      </c>
      <c r="E24">
        <v>9.66</v>
      </c>
      <c r="F24">
        <v>11.73</v>
      </c>
      <c r="G24">
        <v>26.23</v>
      </c>
      <c r="H24">
        <v>25.84</v>
      </c>
      <c r="I24">
        <v>12.98</v>
      </c>
      <c r="J24">
        <v>25.38</v>
      </c>
      <c r="K24">
        <v>20.85</v>
      </c>
    </row>
    <row r="25" spans="1:11" s="7" customFormat="1" x14ac:dyDescent="0.3">
      <c r="A25" s="7" t="s">
        <v>6</v>
      </c>
      <c r="D25">
        <v>3.72</v>
      </c>
      <c r="E25">
        <v>4.99</v>
      </c>
      <c r="F25">
        <v>10.32</v>
      </c>
      <c r="G25">
        <v>11.76</v>
      </c>
      <c r="H25">
        <v>26.97</v>
      </c>
      <c r="I25">
        <v>30.21</v>
      </c>
      <c r="J25">
        <v>29.94</v>
      </c>
      <c r="K25">
        <v>27.26</v>
      </c>
    </row>
    <row r="26" spans="1:11" s="7" customFormat="1" x14ac:dyDescent="0.3">
      <c r="A26" s="7" t="s">
        <v>7</v>
      </c>
      <c r="D26">
        <v>7.4</v>
      </c>
      <c r="E26">
        <v>30.88</v>
      </c>
      <c r="F26">
        <v>59.51</v>
      </c>
      <c r="G26">
        <v>71.59</v>
      </c>
      <c r="H26">
        <v>96.41</v>
      </c>
      <c r="I26">
        <v>173.26</v>
      </c>
      <c r="J26">
        <v>224.23</v>
      </c>
      <c r="K26">
        <v>266.39999999999998</v>
      </c>
    </row>
    <row r="27" spans="1:11" s="7" customFormat="1" x14ac:dyDescent="0.3">
      <c r="A27" s="7" t="s">
        <v>8</v>
      </c>
      <c r="D27">
        <v>7.16</v>
      </c>
      <c r="E27">
        <v>26.69</v>
      </c>
      <c r="F27">
        <v>46.24</v>
      </c>
      <c r="G27">
        <v>32.29</v>
      </c>
      <c r="H27">
        <v>47.3</v>
      </c>
      <c r="I27">
        <v>75.62</v>
      </c>
      <c r="J27">
        <v>83.56</v>
      </c>
      <c r="K27">
        <v>108.19</v>
      </c>
    </row>
    <row r="28" spans="1:11" s="7" customFormat="1" x14ac:dyDescent="0.3">
      <c r="A28" s="7" t="s">
        <v>9</v>
      </c>
      <c r="D28">
        <v>-37.450000000000003</v>
      </c>
      <c r="E28">
        <v>-31.72</v>
      </c>
      <c r="F28">
        <v>-12.43</v>
      </c>
      <c r="G28">
        <v>66.12</v>
      </c>
      <c r="H28">
        <v>47.31</v>
      </c>
      <c r="I28">
        <v>38.39</v>
      </c>
      <c r="J28">
        <v>69.03</v>
      </c>
      <c r="K28">
        <v>127.45</v>
      </c>
    </row>
    <row r="29" spans="1:11" s="7" customFormat="1" x14ac:dyDescent="0.3">
      <c r="A29" s="7" t="s">
        <v>10</v>
      </c>
      <c r="D29">
        <v>-9.27</v>
      </c>
      <c r="E29">
        <v>-7.18</v>
      </c>
      <c r="F29">
        <v>3.91</v>
      </c>
      <c r="G29">
        <v>4.4800000000000004</v>
      </c>
      <c r="H29">
        <v>6.02</v>
      </c>
      <c r="I29">
        <v>13.57</v>
      </c>
      <c r="J29">
        <v>25.32</v>
      </c>
      <c r="K29">
        <v>53.75</v>
      </c>
    </row>
    <row r="30" spans="1:11" s="7" customFormat="1" x14ac:dyDescent="0.3">
      <c r="A30" s="7" t="s">
        <v>11</v>
      </c>
      <c r="D30">
        <v>-28.18</v>
      </c>
      <c r="E30">
        <v>-24.52</v>
      </c>
      <c r="F30">
        <v>-16.61</v>
      </c>
      <c r="G30">
        <v>61.55</v>
      </c>
      <c r="H30">
        <v>41.08</v>
      </c>
      <c r="I30">
        <v>19.260000000000002</v>
      </c>
      <c r="J30">
        <v>32.270000000000003</v>
      </c>
      <c r="K30">
        <v>66.08</v>
      </c>
    </row>
    <row r="31" spans="1:11" s="7" customFormat="1" x14ac:dyDescent="0.3">
      <c r="A31" s="7" t="s">
        <v>43</v>
      </c>
    </row>
    <row r="32" spans="1:11" s="7" customFormat="1" x14ac:dyDescent="0.3"/>
    <row r="33" spans="1:11" x14ac:dyDescent="0.3">
      <c r="A33" s="7"/>
    </row>
    <row r="34" spans="1:11" x14ac:dyDescent="0.3">
      <c r="A34" s="7"/>
    </row>
    <row r="35" spans="1:11" x14ac:dyDescent="0.3">
      <c r="A35" s="7"/>
    </row>
    <row r="36" spans="1:11" x14ac:dyDescent="0.3">
      <c r="A36" s="7"/>
    </row>
    <row r="37" spans="1:11" x14ac:dyDescent="0.3">
      <c r="A37" s="7"/>
    </row>
    <row r="38" spans="1:11" x14ac:dyDescent="0.3">
      <c r="A38" s="7"/>
    </row>
    <row r="39" spans="1:11" x14ac:dyDescent="0.3">
      <c r="A39" s="7"/>
    </row>
    <row r="40" spans="1:11" x14ac:dyDescent="0.3">
      <c r="A40" s="1" t="s">
        <v>28</v>
      </c>
    </row>
    <row r="41" spans="1:11" s="17" customFormat="1" x14ac:dyDescent="0.3">
      <c r="A41" s="16" t="s">
        <v>27</v>
      </c>
      <c r="B41" s="11">
        <v>45199</v>
      </c>
      <c r="C41" s="11">
        <v>45291</v>
      </c>
      <c r="D41" s="11">
        <v>45382</v>
      </c>
      <c r="E41" s="11">
        <v>45473</v>
      </c>
      <c r="F41" s="11">
        <v>45565</v>
      </c>
      <c r="G41" s="11">
        <v>45657</v>
      </c>
      <c r="H41" s="11">
        <v>45747</v>
      </c>
      <c r="I41" s="11">
        <v>45838</v>
      </c>
      <c r="J41" s="11">
        <v>45930</v>
      </c>
      <c r="K41" s="11">
        <v>46022</v>
      </c>
    </row>
    <row r="42" spans="1:11" s="7" customFormat="1" x14ac:dyDescent="0.3">
      <c r="A42" s="7" t="s">
        <v>3</v>
      </c>
      <c r="B42">
        <v>1507.02</v>
      </c>
      <c r="C42">
        <v>1788.8</v>
      </c>
      <c r="D42">
        <v>1667.98</v>
      </c>
      <c r="E42">
        <v>1746.11</v>
      </c>
      <c r="F42">
        <v>1874.74</v>
      </c>
      <c r="G42">
        <v>2267.21</v>
      </c>
      <c r="H42">
        <v>2061.7600000000002</v>
      </c>
      <c r="I42">
        <v>2154.94</v>
      </c>
      <c r="J42">
        <v>2345.98</v>
      </c>
      <c r="K42">
        <v>2873.26</v>
      </c>
    </row>
    <row r="43" spans="1:11" s="7" customFormat="1" x14ac:dyDescent="0.3">
      <c r="A43" s="7" t="s">
        <v>4</v>
      </c>
      <c r="B43">
        <v>1426.39</v>
      </c>
      <c r="C43">
        <v>1690.02</v>
      </c>
      <c r="D43">
        <v>1574.7</v>
      </c>
      <c r="E43">
        <v>1649.99</v>
      </c>
      <c r="F43">
        <v>1771.08</v>
      </c>
      <c r="G43">
        <v>2126.4299999999998</v>
      </c>
      <c r="H43">
        <v>1928.41</v>
      </c>
      <c r="I43">
        <v>2014.26</v>
      </c>
      <c r="J43">
        <v>2187.0300000000002</v>
      </c>
      <c r="K43">
        <v>2643.5</v>
      </c>
    </row>
    <row r="44" spans="1:11" s="7" customFormat="1" x14ac:dyDescent="0.3">
      <c r="A44" s="7" t="s">
        <v>6</v>
      </c>
      <c r="B44">
        <v>8.57</v>
      </c>
      <c r="C44">
        <v>7.58</v>
      </c>
      <c r="D44">
        <v>7.06</v>
      </c>
      <c r="E44">
        <v>7.33</v>
      </c>
      <c r="F44">
        <v>5.45</v>
      </c>
      <c r="G44">
        <v>5.53</v>
      </c>
      <c r="H44">
        <v>8.9499999999999993</v>
      </c>
      <c r="I44">
        <v>9.33</v>
      </c>
      <c r="J44">
        <v>6.99</v>
      </c>
      <c r="K44">
        <v>-10.1</v>
      </c>
    </row>
    <row r="45" spans="1:11" s="7" customFormat="1" x14ac:dyDescent="0.3">
      <c r="A45" s="7" t="s">
        <v>7</v>
      </c>
      <c r="B45">
        <v>54.64</v>
      </c>
      <c r="C45">
        <v>58.03</v>
      </c>
      <c r="D45">
        <v>59.65</v>
      </c>
      <c r="E45">
        <v>60.06</v>
      </c>
      <c r="F45">
        <v>63.62</v>
      </c>
      <c r="G45">
        <v>69.819999999999993</v>
      </c>
      <c r="H45">
        <v>72.900000000000006</v>
      </c>
      <c r="I45">
        <v>76.14</v>
      </c>
      <c r="J45">
        <v>79.09</v>
      </c>
      <c r="K45">
        <v>80.88</v>
      </c>
    </row>
    <row r="46" spans="1:11" s="7" customFormat="1" x14ac:dyDescent="0.3">
      <c r="A46" s="7" t="s">
        <v>8</v>
      </c>
      <c r="B46">
        <v>21.31</v>
      </c>
      <c r="C46">
        <v>21.84</v>
      </c>
      <c r="D46">
        <v>21.13</v>
      </c>
      <c r="E46">
        <v>21.31</v>
      </c>
      <c r="F46">
        <v>24.23</v>
      </c>
      <c r="G46">
        <v>31.93</v>
      </c>
      <c r="H46">
        <v>29.85</v>
      </c>
      <c r="I46">
        <v>30.16</v>
      </c>
      <c r="J46">
        <v>31.47</v>
      </c>
      <c r="K46">
        <v>29.16</v>
      </c>
    </row>
    <row r="47" spans="1:11" s="7" customFormat="1" x14ac:dyDescent="0.3">
      <c r="A47" s="7" t="s">
        <v>9</v>
      </c>
      <c r="B47">
        <v>13.25</v>
      </c>
      <c r="C47">
        <v>26.49</v>
      </c>
      <c r="D47">
        <v>19.559999999999999</v>
      </c>
      <c r="E47">
        <v>22.08</v>
      </c>
      <c r="F47">
        <v>21.26</v>
      </c>
      <c r="G47">
        <v>44.56</v>
      </c>
      <c r="H47">
        <v>39.549999999999997</v>
      </c>
      <c r="I47">
        <v>43.71</v>
      </c>
      <c r="J47">
        <v>55.38</v>
      </c>
      <c r="K47">
        <v>109.62</v>
      </c>
    </row>
    <row r="48" spans="1:11" s="7" customFormat="1" x14ac:dyDescent="0.3">
      <c r="A48" s="7" t="s">
        <v>10</v>
      </c>
      <c r="B48">
        <v>3.97</v>
      </c>
      <c r="C48">
        <v>8.26</v>
      </c>
      <c r="D48">
        <v>9.83</v>
      </c>
      <c r="E48">
        <v>7.84</v>
      </c>
      <c r="F48">
        <v>7.82</v>
      </c>
      <c r="G48">
        <v>17.59</v>
      </c>
      <c r="H48">
        <v>20.5</v>
      </c>
      <c r="I48">
        <v>19.239999999999998</v>
      </c>
      <c r="J48">
        <v>22.4</v>
      </c>
      <c r="K48">
        <v>41.88</v>
      </c>
    </row>
    <row r="49" spans="1:11" s="7" customFormat="1" x14ac:dyDescent="0.3">
      <c r="A49" s="7" t="s">
        <v>11</v>
      </c>
      <c r="B49">
        <v>5.85</v>
      </c>
      <c r="C49">
        <v>16.190000000000001</v>
      </c>
      <c r="D49">
        <v>6.93</v>
      </c>
      <c r="E49">
        <v>9.64</v>
      </c>
      <c r="F49">
        <v>10.039999999999999</v>
      </c>
      <c r="G49">
        <v>26.12</v>
      </c>
      <c r="H49">
        <v>20.28</v>
      </c>
      <c r="I49">
        <v>23.32</v>
      </c>
      <c r="J49">
        <v>34.43</v>
      </c>
      <c r="K49">
        <v>63.31</v>
      </c>
    </row>
    <row r="50" spans="1:11" x14ac:dyDescent="0.3">
      <c r="A50" s="7" t="s">
        <v>5</v>
      </c>
      <c r="B50">
        <v>80.63</v>
      </c>
      <c r="C50">
        <v>98.78</v>
      </c>
      <c r="D50">
        <v>93.28</v>
      </c>
      <c r="E50">
        <v>96.12</v>
      </c>
      <c r="F50">
        <v>103.66</v>
      </c>
      <c r="G50">
        <v>140.78</v>
      </c>
      <c r="H50">
        <v>133.35</v>
      </c>
      <c r="I50">
        <v>140.68</v>
      </c>
      <c r="J50">
        <v>158.94999999999999</v>
      </c>
      <c r="K50">
        <v>229.76</v>
      </c>
    </row>
    <row r="51" spans="1:11" x14ac:dyDescent="0.3">
      <c r="A51" s="7"/>
    </row>
    <row r="52" spans="1:11" x14ac:dyDescent="0.3">
      <c r="A52" s="7"/>
    </row>
    <row r="53" spans="1:11" x14ac:dyDescent="0.3">
      <c r="A53" s="7"/>
    </row>
    <row r="54" spans="1:11" x14ac:dyDescent="0.3">
      <c r="A54" s="7"/>
    </row>
    <row r="55" spans="1:11" x14ac:dyDescent="0.3">
      <c r="A55" s="1" t="s">
        <v>29</v>
      </c>
    </row>
    <row r="56" spans="1:11" s="17" customFormat="1" x14ac:dyDescent="0.3">
      <c r="A56" s="16" t="s">
        <v>27</v>
      </c>
      <c r="B56" s="11"/>
      <c r="C56" s="11"/>
      <c r="D56" s="11">
        <v>43190</v>
      </c>
      <c r="E56" s="11">
        <v>43555</v>
      </c>
      <c r="F56" s="11">
        <v>43921</v>
      </c>
      <c r="G56" s="11">
        <v>44286</v>
      </c>
      <c r="H56" s="11">
        <v>44651</v>
      </c>
      <c r="I56" s="11">
        <v>45016</v>
      </c>
      <c r="J56" s="11">
        <v>45382</v>
      </c>
      <c r="K56" s="11">
        <v>45747</v>
      </c>
    </row>
    <row r="57" spans="1:11" x14ac:dyDescent="0.3">
      <c r="A57" s="7" t="s">
        <v>13</v>
      </c>
      <c r="D57">
        <v>13.56</v>
      </c>
      <c r="E57">
        <v>14.24</v>
      </c>
      <c r="F57">
        <v>14.55</v>
      </c>
      <c r="G57">
        <v>15.06</v>
      </c>
      <c r="H57">
        <v>47.41</v>
      </c>
      <c r="I57">
        <v>285.25</v>
      </c>
      <c r="J57">
        <v>285.60000000000002</v>
      </c>
      <c r="K57">
        <v>285.93</v>
      </c>
    </row>
    <row r="58" spans="1:11" x14ac:dyDescent="0.3">
      <c r="A58" s="7" t="s">
        <v>14</v>
      </c>
      <c r="D58">
        <v>108.03</v>
      </c>
      <c r="E58">
        <v>216.32</v>
      </c>
      <c r="F58">
        <v>307.39999999999998</v>
      </c>
      <c r="G58">
        <v>474.51</v>
      </c>
      <c r="H58">
        <v>1292.49</v>
      </c>
      <c r="I58">
        <v>1092.77</v>
      </c>
      <c r="J58">
        <v>976.63</v>
      </c>
      <c r="K58">
        <v>1015.35</v>
      </c>
    </row>
    <row r="59" spans="1:11" x14ac:dyDescent="0.3">
      <c r="A59" s="7" t="s">
        <v>44</v>
      </c>
      <c r="D59">
        <v>83.05</v>
      </c>
      <c r="E59">
        <v>310.47000000000003</v>
      </c>
      <c r="F59">
        <v>412.77</v>
      </c>
      <c r="G59">
        <v>333</v>
      </c>
      <c r="H59">
        <v>592.62</v>
      </c>
      <c r="I59">
        <v>798.5</v>
      </c>
      <c r="J59">
        <v>969.49</v>
      </c>
      <c r="K59">
        <v>1320.59</v>
      </c>
    </row>
    <row r="60" spans="1:11" x14ac:dyDescent="0.3">
      <c r="A60" s="7" t="s">
        <v>45</v>
      </c>
      <c r="D60">
        <v>148.5</v>
      </c>
      <c r="E60">
        <v>234.62</v>
      </c>
      <c r="F60">
        <v>389.76</v>
      </c>
      <c r="G60">
        <v>479.37</v>
      </c>
      <c r="H60">
        <v>713.52</v>
      </c>
      <c r="I60">
        <v>773.45</v>
      </c>
      <c r="J60">
        <v>1168.9100000000001</v>
      </c>
      <c r="K60">
        <v>1357.66</v>
      </c>
    </row>
    <row r="61" spans="1:11" s="1" customFormat="1" x14ac:dyDescent="0.3">
      <c r="A61" s="1" t="s">
        <v>15</v>
      </c>
      <c r="D61">
        <v>353.14</v>
      </c>
      <c r="E61">
        <v>775.65</v>
      </c>
      <c r="F61">
        <v>1124.48</v>
      </c>
      <c r="G61">
        <v>1301.94</v>
      </c>
      <c r="H61">
        <v>2646.04</v>
      </c>
      <c r="I61">
        <v>2949.97</v>
      </c>
      <c r="J61">
        <v>3400.63</v>
      </c>
      <c r="K61">
        <v>3979.53</v>
      </c>
    </row>
    <row r="62" spans="1:11" x14ac:dyDescent="0.3">
      <c r="A62" s="7" t="s">
        <v>16</v>
      </c>
      <c r="D62">
        <v>34.119999999999997</v>
      </c>
      <c r="E62">
        <v>139.58000000000001</v>
      </c>
      <c r="F62">
        <v>227.03</v>
      </c>
      <c r="G62">
        <v>231.13</v>
      </c>
      <c r="H62">
        <v>483.25</v>
      </c>
      <c r="I62">
        <v>698.82</v>
      </c>
      <c r="J62">
        <v>668.16</v>
      </c>
      <c r="K62">
        <v>834.82</v>
      </c>
    </row>
    <row r="63" spans="1:11" x14ac:dyDescent="0.3">
      <c r="A63" s="7" t="s">
        <v>17</v>
      </c>
      <c r="D63">
        <v>0.44</v>
      </c>
      <c r="E63">
        <v>0.32</v>
      </c>
      <c r="F63">
        <v>2.02</v>
      </c>
      <c r="G63">
        <v>2.36</v>
      </c>
      <c r="H63">
        <v>24.5</v>
      </c>
      <c r="I63">
        <v>30.88</v>
      </c>
      <c r="J63">
        <v>29.78</v>
      </c>
      <c r="K63">
        <v>36.74</v>
      </c>
    </row>
    <row r="64" spans="1:11" x14ac:dyDescent="0.3">
      <c r="A64" s="7" t="s">
        <v>18</v>
      </c>
      <c r="D64">
        <v>10.42</v>
      </c>
      <c r="E64">
        <v>138.27000000000001</v>
      </c>
      <c r="F64">
        <v>3.8</v>
      </c>
      <c r="G64">
        <v>1.32</v>
      </c>
      <c r="I64">
        <v>38.119999999999997</v>
      </c>
      <c r="J64">
        <v>34.31</v>
      </c>
      <c r="K64">
        <v>0.16</v>
      </c>
    </row>
    <row r="65" spans="1:11" x14ac:dyDescent="0.3">
      <c r="A65" s="7" t="s">
        <v>46</v>
      </c>
      <c r="D65">
        <v>308.16000000000003</v>
      </c>
      <c r="E65">
        <v>497.48</v>
      </c>
      <c r="F65">
        <v>891.63</v>
      </c>
      <c r="G65">
        <v>1067.1300000000001</v>
      </c>
      <c r="H65">
        <v>2138.29</v>
      </c>
      <c r="I65">
        <v>2182.15</v>
      </c>
      <c r="J65">
        <v>2668.38</v>
      </c>
      <c r="K65">
        <v>3107.81</v>
      </c>
    </row>
    <row r="66" spans="1:11" s="1" customFormat="1" x14ac:dyDescent="0.3">
      <c r="A66" s="1" t="s">
        <v>15</v>
      </c>
      <c r="D66">
        <v>353.14</v>
      </c>
      <c r="E66">
        <v>775.65</v>
      </c>
      <c r="F66">
        <v>1124.48</v>
      </c>
      <c r="G66">
        <v>1301.94</v>
      </c>
      <c r="H66">
        <v>2646.04</v>
      </c>
      <c r="I66">
        <v>2949.97</v>
      </c>
      <c r="J66">
        <v>3400.63</v>
      </c>
      <c r="K66">
        <v>3979.53</v>
      </c>
    </row>
    <row r="67" spans="1:11" s="7" customFormat="1" x14ac:dyDescent="0.3">
      <c r="A67" s="7" t="s">
        <v>51</v>
      </c>
      <c r="D67">
        <v>70.239999999999995</v>
      </c>
      <c r="E67">
        <v>57.92</v>
      </c>
      <c r="F67">
        <v>98.43</v>
      </c>
      <c r="G67">
        <v>76.64</v>
      </c>
      <c r="H67">
        <v>94.53</v>
      </c>
      <c r="I67">
        <v>163.53</v>
      </c>
      <c r="J67">
        <v>241.6</v>
      </c>
      <c r="K67">
        <v>246.61</v>
      </c>
    </row>
    <row r="68" spans="1:11" x14ac:dyDescent="0.3">
      <c r="A68" s="7" t="s">
        <v>34</v>
      </c>
      <c r="D68">
        <v>117.72</v>
      </c>
      <c r="E68">
        <v>244.6</v>
      </c>
      <c r="F68">
        <v>445.34</v>
      </c>
      <c r="G68">
        <v>498.09</v>
      </c>
      <c r="H68">
        <v>875.62</v>
      </c>
      <c r="I68">
        <v>1005.14</v>
      </c>
      <c r="J68">
        <v>1192.05</v>
      </c>
      <c r="K68">
        <v>1417.54</v>
      </c>
    </row>
    <row r="69" spans="1:11" x14ac:dyDescent="0.3">
      <c r="A69" s="4" t="s">
        <v>60</v>
      </c>
      <c r="D69">
        <v>37.69</v>
      </c>
      <c r="E69">
        <v>11.94</v>
      </c>
      <c r="F69">
        <v>175.62</v>
      </c>
      <c r="G69">
        <v>247.67</v>
      </c>
      <c r="H69">
        <v>267.04000000000002</v>
      </c>
      <c r="I69">
        <v>148.74</v>
      </c>
      <c r="J69">
        <v>239.86</v>
      </c>
      <c r="K69">
        <v>217.15</v>
      </c>
    </row>
    <row r="70" spans="1:11" x14ac:dyDescent="0.3">
      <c r="A70" s="4" t="s">
        <v>47</v>
      </c>
      <c r="D70">
        <v>13555681</v>
      </c>
      <c r="E70">
        <v>14242509</v>
      </c>
      <c r="F70">
        <v>14549077</v>
      </c>
      <c r="G70">
        <v>15057237</v>
      </c>
      <c r="H70">
        <v>474104876</v>
      </c>
      <c r="I70">
        <v>2852450000</v>
      </c>
      <c r="J70">
        <v>2855985609</v>
      </c>
      <c r="K70">
        <v>2859252483</v>
      </c>
    </row>
    <row r="71" spans="1:11" x14ac:dyDescent="0.3">
      <c r="A71" s="4" t="s">
        <v>48</v>
      </c>
    </row>
    <row r="72" spans="1:11" x14ac:dyDescent="0.3">
      <c r="A72" s="4" t="s">
        <v>61</v>
      </c>
      <c r="D72">
        <v>10</v>
      </c>
      <c r="E72">
        <v>10</v>
      </c>
      <c r="F72">
        <v>10</v>
      </c>
      <c r="G72">
        <v>10</v>
      </c>
      <c r="H72">
        <v>1</v>
      </c>
      <c r="I72">
        <v>1</v>
      </c>
      <c r="J72">
        <v>1</v>
      </c>
      <c r="K72">
        <v>1</v>
      </c>
    </row>
    <row r="74" spans="1:11" x14ac:dyDescent="0.3">
      <c r="A74" s="7"/>
    </row>
    <row r="75" spans="1:11" x14ac:dyDescent="0.3">
      <c r="A75" s="7"/>
    </row>
    <row r="76" spans="1:11" x14ac:dyDescent="0.3">
      <c r="A76" s="7"/>
    </row>
    <row r="77" spans="1:11" x14ac:dyDescent="0.3">
      <c r="A77" s="7"/>
    </row>
    <row r="78" spans="1:11" x14ac:dyDescent="0.3">
      <c r="A78" s="7"/>
    </row>
    <row r="79" spans="1:11" x14ac:dyDescent="0.3">
      <c r="A79" s="7"/>
    </row>
    <row r="80" spans="1:11" x14ac:dyDescent="0.3">
      <c r="A80" s="1" t="s">
        <v>30</v>
      </c>
    </row>
    <row r="81" spans="1:11" s="17" customFormat="1" x14ac:dyDescent="0.3">
      <c r="A81" s="16" t="s">
        <v>27</v>
      </c>
      <c r="B81" s="11"/>
      <c r="C81" s="11"/>
      <c r="D81" s="11">
        <v>43190</v>
      </c>
      <c r="E81" s="11">
        <v>43555</v>
      </c>
      <c r="F81" s="11">
        <v>43921</v>
      </c>
      <c r="G81" s="11">
        <v>44286</v>
      </c>
      <c r="H81" s="11">
        <v>44651</v>
      </c>
      <c r="I81" s="11">
        <v>45016</v>
      </c>
      <c r="J81" s="11">
        <v>45382</v>
      </c>
      <c r="K81" s="11">
        <v>45747</v>
      </c>
    </row>
    <row r="82" spans="1:11" s="1" customFormat="1" x14ac:dyDescent="0.3">
      <c r="A82" s="7" t="s">
        <v>21</v>
      </c>
      <c r="D82">
        <v>-79.38</v>
      </c>
      <c r="E82">
        <v>-99.73</v>
      </c>
      <c r="F82">
        <v>6.15</v>
      </c>
      <c r="G82">
        <v>133.18</v>
      </c>
      <c r="H82">
        <v>-353.96</v>
      </c>
      <c r="I82">
        <v>-140.24</v>
      </c>
      <c r="J82">
        <v>0.25</v>
      </c>
      <c r="K82">
        <v>466.63</v>
      </c>
    </row>
    <row r="83" spans="1:11" s="7" customFormat="1" x14ac:dyDescent="0.3">
      <c r="A83" s="7" t="s">
        <v>22</v>
      </c>
      <c r="D83">
        <v>30.57</v>
      </c>
      <c r="E83">
        <v>-161.94</v>
      </c>
      <c r="F83">
        <v>14.91</v>
      </c>
      <c r="G83">
        <v>-129.74</v>
      </c>
      <c r="H83">
        <v>-602.79</v>
      </c>
      <c r="I83">
        <v>139.58000000000001</v>
      </c>
      <c r="J83">
        <v>-10.11</v>
      </c>
      <c r="K83">
        <v>-205.43</v>
      </c>
    </row>
    <row r="84" spans="1:11" s="7" customFormat="1" x14ac:dyDescent="0.3">
      <c r="A84" s="7" t="s">
        <v>23</v>
      </c>
      <c r="D84">
        <v>81.94</v>
      </c>
      <c r="E84">
        <v>235.69</v>
      </c>
      <c r="F84">
        <v>68.72</v>
      </c>
      <c r="G84">
        <v>-37.72</v>
      </c>
      <c r="H84">
        <v>927.01</v>
      </c>
      <c r="I84">
        <v>4.87</v>
      </c>
      <c r="J84">
        <v>44.26</v>
      </c>
      <c r="K84">
        <v>-212.04</v>
      </c>
    </row>
    <row r="85" spans="1:11" s="1" customFormat="1" x14ac:dyDescent="0.3">
      <c r="A85" s="7" t="s">
        <v>24</v>
      </c>
      <c r="D85">
        <v>33.130000000000003</v>
      </c>
      <c r="E85">
        <v>-25.98</v>
      </c>
      <c r="F85">
        <v>89.78</v>
      </c>
      <c r="G85">
        <v>-34.28</v>
      </c>
      <c r="H85">
        <v>-29.74</v>
      </c>
      <c r="I85">
        <v>4.2</v>
      </c>
      <c r="J85">
        <v>34.4</v>
      </c>
      <c r="K85">
        <v>49.16</v>
      </c>
    </row>
    <row r="86" spans="1:11" x14ac:dyDescent="0.3">
      <c r="A86" s="7"/>
    </row>
    <row r="87" spans="1:11" x14ac:dyDescent="0.3">
      <c r="A87" s="7"/>
    </row>
    <row r="88" spans="1:11" x14ac:dyDescent="0.3">
      <c r="A88" s="7"/>
    </row>
    <row r="89" spans="1:11" x14ac:dyDescent="0.3">
      <c r="A89" s="7"/>
    </row>
    <row r="90" spans="1:11" s="1" customFormat="1" x14ac:dyDescent="0.3">
      <c r="A90" s="1" t="s">
        <v>50</v>
      </c>
      <c r="H90">
        <v>281.58999999999997</v>
      </c>
      <c r="I90">
        <v>124.25</v>
      </c>
      <c r="J90">
        <v>161.94999999999999</v>
      </c>
      <c r="K90">
        <v>179.08</v>
      </c>
    </row>
    <row r="92" spans="1:11" s="1" customFormat="1" x14ac:dyDescent="0.3">
      <c r="A92" s="1" t="s">
        <v>49</v>
      </c>
    </row>
    <row r="93" spans="1:11" x14ac:dyDescent="0.3">
      <c r="A93" s="4" t="s">
        <v>62</v>
      </c>
      <c r="B93" s="20">
        <f>IF($B7&gt;0,(B70*B72/$B7)+SUM(C71:$K71),0)/10000000</f>
        <v>0</v>
      </c>
      <c r="C93" s="20">
        <f>IF($B7&gt;0,(C70*C72/$B7)+SUM(D71:$K71),0)/10000000</f>
        <v>0</v>
      </c>
      <c r="D93" s="20">
        <v>8.1300000000000008</v>
      </c>
      <c r="E93" s="20">
        <v>8.5500000000000007</v>
      </c>
      <c r="F93" s="20">
        <v>8.73</v>
      </c>
      <c r="G93" s="20">
        <v>9.0299999999999994</v>
      </c>
      <c r="H93" s="20">
        <v>284.45999999999998</v>
      </c>
      <c r="I93" s="20">
        <v>285.24</v>
      </c>
      <c r="J93" s="20">
        <v>285.60000000000002</v>
      </c>
      <c r="K93" s="20">
        <v>285.93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Quarters</vt:lpstr>
      <vt:lpstr>Balance Sheet</vt:lpstr>
      <vt:lpstr>Cash Flow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Gunjan Bagga</cp:lastModifiedBy>
  <cp:lastPrinted>2012-12-06T18:14:13Z</cp:lastPrinted>
  <dcterms:created xsi:type="dcterms:W3CDTF">2012-08-17T09:55:37Z</dcterms:created>
  <dcterms:modified xsi:type="dcterms:W3CDTF">2026-04-19T04:47:45Z</dcterms:modified>
</cp:coreProperties>
</file>